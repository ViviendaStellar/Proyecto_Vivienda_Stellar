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ciones" sheetId="1" state="visible" r:id="rId1"/>
    <sheet name="Cronograma" sheetId="2" state="visible" r:id="rId2"/>
    <sheet name="Ejemplo" sheetId="3" state="visible" r:id="rId3"/>
    <sheet name="F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0.00&quot;%&quot;"/>
    <numFmt numFmtId="166" formatCode="mmm yyyy"/>
    <numFmt numFmtId="167" formatCode="&quot;$ &quot;#,##0"/>
    <numFmt numFmtId="168" formatCode="yyyy-mm-dd"/>
    <numFmt numFmtId="169" formatCode="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DCE8FF"/>
      <sz val="11"/>
    </font>
    <font>
      <name val="Calibri"/>
      <b val="1"/>
      <color rgb="00FFFFFF"/>
      <sz val="13"/>
    </font>
    <font>
      <name val="Calibri"/>
      <b val="1"/>
      <color rgb="000E1B3D"/>
      <sz val="11"/>
    </font>
    <font>
      <name val="Calibri"/>
      <color rgb="000E1B3D"/>
      <sz val="11"/>
    </font>
    <font>
      <name val="Calibri"/>
      <i val="1"/>
      <color rgb="0066779A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B2A6F"/>
      </patternFill>
    </fill>
    <fill>
      <patternFill patternType="solid">
        <fgColor rgb="00FFC72C"/>
      </patternFill>
    </fill>
    <fill>
      <patternFill patternType="solid">
        <fgColor rgb="001450C8"/>
      </patternFill>
    </fill>
    <fill>
      <patternFill patternType="solid">
        <fgColor rgb="00F1F4FA"/>
      </patternFill>
    </fill>
    <fill>
      <patternFill patternType="solid">
        <fgColor rgb="00EAF1FF"/>
      </patternFill>
    </fill>
    <fill>
      <patternFill patternType="solid">
        <fgColor rgb="005B6F99"/>
      </patternFill>
    </fill>
  </fills>
  <borders count="2">
    <border>
      <left/>
      <right/>
      <top/>
      <bottom/>
      <diagonal/>
    </border>
    <border>
      <left style="thin">
        <color rgb="00C9D5EC"/>
      </left>
      <right style="thin">
        <color rgb="00C9D5EC"/>
      </right>
      <top style="thin">
        <color rgb="00C9D5EC"/>
      </top>
      <bottom style="thin">
        <color rgb="00C9D5E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0" fillId="3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164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left" vertical="center" wrapText="1"/>
    </xf>
    <xf numFmtId="0" fontId="0" fillId="5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9" fontId="5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169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000B7A4F"/>
      </font>
      <fill>
        <patternFill patternType="solid">
          <fgColor rgb="00D5F5E5"/>
          <bgColor rgb="00D5F5E5"/>
        </patternFill>
      </fill>
    </dxf>
    <dxf>
      <font>
        <b val="1"/>
        <color rgb="00B42331"/>
      </font>
      <fill>
        <patternFill patternType="solid">
          <fgColor rgb="00FDE2E4"/>
          <bgColor rgb="00FDE2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A6F"/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86" customWidth="1" min="3" max="3"/>
    <col width="4" customWidth="1" min="4" max="4"/>
  </cols>
  <sheetData>
    <row r="1" ht="38" customHeight="1">
      <c r="A1" s="1" t="inlineStr">
        <is>
          <t>INN-LOCK · Plantilla de cronograma de obra</t>
        </is>
      </c>
      <c r="B1" s="2" t="n"/>
      <c r="C1" s="2" t="n"/>
      <c r="D1" s="2" t="n"/>
    </row>
    <row r="2" ht="22" customHeight="1">
      <c r="A2" s="3" t="inlineStr">
        <is>
          <t>Guía rápida para diligenciar el cronograma y el plan de desembolsos de su proyecto</t>
        </is>
      </c>
      <c r="B2" s="2" t="n"/>
      <c r="C2" s="2" t="n"/>
      <c r="D2" s="2" t="n"/>
    </row>
    <row r="3" ht="4" customHeight="1">
      <c r="A3" s="4" t="n"/>
      <c r="B3" s="4" t="n"/>
      <c r="C3" s="4" t="n"/>
      <c r="D3" s="4" t="n"/>
    </row>
    <row r="5" ht="24" customHeight="1">
      <c r="B5" s="5" t="inlineStr">
        <is>
          <t>¿Para qué sirve este archivo?</t>
        </is>
      </c>
      <c r="C5" s="6" t="n"/>
    </row>
    <row r="6" ht="51" customHeight="1">
      <c r="B6" s="7" t="inlineStr">
        <is>
          <t>Objetivo</t>
        </is>
      </c>
      <c r="C6" s="8" t="inlineStr">
        <is>
          <t>Define en cuántos hitos mensuales se construye el proyecto y qué porcentaje del presupuesto se desembolsa a la constructora al aprobarse cada uno. El interventor revisa este cronograma antes de que el proyecto se active.</t>
        </is>
      </c>
    </row>
    <row r="8" ht="24" customHeight="1">
      <c r="B8" s="5" t="inlineStr">
        <is>
          <t>Cómo diligenciarlo (5 pasos)</t>
        </is>
      </c>
      <c r="C8" s="6" t="n"/>
    </row>
    <row r="9" ht="34" customHeight="1">
      <c r="B9" s="7" t="inlineStr">
        <is>
          <t>1 · Datos generales</t>
        </is>
      </c>
      <c r="C9" s="8" t="inlineStr">
        <is>
          <t>En la hoja «Cronograma» complete el nombre, la fecha de inicio de obra y el presupuesto total en pesos (sin puntos ni símbolos).</t>
        </is>
      </c>
    </row>
    <row r="10" ht="34" customHeight="1">
      <c r="B10" s="7" t="inlineStr">
        <is>
          <t>2 · Una fila por mes</t>
        </is>
      </c>
      <c r="C10" s="8" t="inlineStr">
        <is>
          <t>Escriba el N° de mes (1, 2, 3…), elija la fase en la lista desplegable y el % del presupuesto que se desembolsa ese mes.</t>
        </is>
      </c>
    </row>
    <row r="11" ht="34" customHeight="1">
      <c r="B11" s="7" t="inlineStr">
        <is>
          <t>3 · Actividades</t>
        </is>
      </c>
      <c r="C11" s="8" t="inlineStr">
        <is>
          <t>Describa las 2 o 3 actividades principales del mes. Si son varias, sepárelas con punto y coma ( ; ).</t>
        </is>
      </c>
    </row>
    <row r="12" ht="34" customHeight="1">
      <c r="B12" s="7" t="inlineStr">
        <is>
          <t>4 · Verifique el control</t>
        </is>
      </c>
      <c r="C12" s="8" t="inlineStr">
        <is>
          <t>La celda «Control» debe mostrar ✔ Correcto: la suma de todos los % debe ser exactamente 100.</t>
        </is>
      </c>
    </row>
    <row r="13" ht="34" customHeight="1">
      <c r="B13" s="7" t="inlineStr">
        <is>
          <t>5 · Suba el archivo</t>
        </is>
      </c>
      <c r="C13" s="8" t="inlineStr">
        <is>
          <t>Guarde el Excel y cárguelo en INN-LOCK (Registrar proyecto → Presupuesto y cronograma → Importar archivo).</t>
        </is>
      </c>
    </row>
    <row r="15" ht="24" customHeight="1">
      <c r="B15" s="5" t="inlineStr">
        <is>
          <t>Reglas que valida la plataforma</t>
        </is>
      </c>
      <c r="C15" s="6" t="n"/>
    </row>
    <row r="16" ht="22" customHeight="1">
      <c r="B16" s="7" t="inlineStr">
        <is>
          <t>Suma del 100 %</t>
        </is>
      </c>
      <c r="C16" s="8" t="inlineStr">
        <is>
          <t>Los porcentajes de todos los meses deben sumar 100 (tolerancia 0,01).</t>
        </is>
      </c>
    </row>
    <row r="17" ht="34" customHeight="1">
      <c r="B17" s="7" t="inlineStr">
        <is>
          <t>Orden de las fases</t>
        </is>
      </c>
      <c r="C17" s="8" t="inlineStr">
        <is>
          <t>Las fases avanzan en orden: Preliminares → Cimentación → Estructura → Mampostería → Instalaciones → Acabados → Entrega. No se puede volver a una fase anterior.</t>
        </is>
      </c>
    </row>
    <row r="18" ht="22" customHeight="1">
      <c r="B18" s="7" t="inlineStr">
        <is>
          <t>Duración</t>
        </is>
      </c>
      <c r="C18" s="8" t="inlineStr">
        <is>
          <t>Entre 6 y 60 meses, numerados sin saltos (1, 2, 3…).</t>
        </is>
      </c>
    </row>
    <row r="19" ht="34" customHeight="1">
      <c r="B19" s="7" t="inlineStr">
        <is>
          <t>Tope por hito</t>
        </is>
      </c>
      <c r="C19" s="8" t="inlineStr">
        <is>
          <t>Ningún mes puede superar el 15 % del presupuesto (en obras de menos de 14 meses, el doble del promedio mensual), para evitar desembolsos concentrados.</t>
        </is>
      </c>
    </row>
    <row r="20" ht="22" customHeight="1">
      <c r="B20" s="7" t="inlineStr">
        <is>
          <t>Actividades</t>
        </is>
      </c>
      <c r="C20" s="8" t="inlineStr">
        <is>
          <t>Cada mes debe tener al menos una actividad descrita.</t>
        </is>
      </c>
    </row>
    <row r="22" ht="24" customHeight="1">
      <c r="B22" s="5" t="inlineStr">
        <is>
          <t>Hojas de este archivo</t>
        </is>
      </c>
      <c r="C22" s="6" t="n"/>
    </row>
    <row r="23" ht="22" customHeight="1">
      <c r="B23" s="7" t="inlineStr">
        <is>
          <t>Cronograma</t>
        </is>
      </c>
      <c r="C23" s="8" t="inlineStr">
        <is>
          <t>Hoja en blanco que usted debe diligenciar y subir a la plataforma.</t>
        </is>
      </c>
    </row>
    <row r="24" ht="22" customHeight="1">
      <c r="B24" s="7" t="inlineStr">
        <is>
          <t>Ejemplo</t>
        </is>
      </c>
      <c r="C24" s="8" t="inlineStr">
        <is>
          <t>Un cronograma completo de 24 meses para guiarse. No se sube.</t>
        </is>
      </c>
    </row>
    <row r="25" ht="22" customHeight="1">
      <c r="B25" s="7" t="inlineStr">
        <is>
          <t>Fases</t>
        </is>
      </c>
      <c r="C25" s="8" t="inlineStr">
        <is>
          <t>Catálogo de fases con su porcentaje de referencia y descripción.</t>
        </is>
      </c>
    </row>
    <row r="27">
      <c r="B27" s="9" t="inlineStr">
        <is>
          <t>Celdas azules = usted las diligencia  ·  Celdas grises = se calculan solas  ·  No cambie los títulos de las columnas ni el nombre de las hojas.</t>
        </is>
      </c>
    </row>
  </sheetData>
  <mergeCells count="6">
    <mergeCell ref="A1:D1"/>
    <mergeCell ref="B15:C15"/>
    <mergeCell ref="B5:C5"/>
    <mergeCell ref="B22:C22"/>
    <mergeCell ref="A2:D2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450C8"/>
    <outlinePr summaryBelow="1" summaryRight="1"/>
    <pageSetUpPr fitToPage="1"/>
  </sheetPr>
  <dimension ref="A1:G7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30" customWidth="1" min="3" max="3"/>
    <col width="16" customWidth="1" min="4" max="4"/>
    <col width="62" customWidth="1" min="5" max="5"/>
    <col width="24" customWidth="1" min="6" max="6"/>
    <col width="22" customWidth="1" min="7" max="7"/>
  </cols>
  <sheetData>
    <row r="1" ht="38" customHeight="1">
      <c r="A1" s="1" t="inlineStr">
        <is>
          <t>INN-LOCK · Cronograma de obra y desembolsos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Complete solo las celdas azules. Las celdas grises se calculan solas.</t>
        </is>
      </c>
      <c r="B2" s="2" t="n"/>
      <c r="C2" s="2" t="n"/>
      <c r="D2" s="2" t="n"/>
      <c r="E2" s="2" t="n"/>
      <c r="F2" s="2" t="n"/>
      <c r="G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</row>
    <row r="4">
      <c r="A4" s="7" t="inlineStr">
        <is>
          <t>Nombre del proyecto</t>
        </is>
      </c>
      <c r="B4" s="10" t="n"/>
      <c r="C4" s="11" t="n"/>
    </row>
    <row r="5">
      <c r="A5" s="7" t="inlineStr">
        <is>
          <t>Fecha de inicio de obra</t>
        </is>
      </c>
      <c r="B5" s="12" t="n"/>
      <c r="C5" s="11" t="n"/>
    </row>
    <row r="6">
      <c r="A6" s="7" t="inlineStr">
        <is>
          <t>Presupuesto de obra (COP)</t>
        </is>
      </c>
      <c r="B6" s="13" t="n"/>
      <c r="C6" s="11" t="n"/>
    </row>
    <row r="7">
      <c r="A7" s="7" t="inlineStr">
        <is>
          <t>Duración (meses)</t>
        </is>
      </c>
      <c r="B7" s="7">
        <f>COUNT(A11:A70)</f>
        <v/>
      </c>
      <c r="C7" s="14" t="n"/>
    </row>
    <row r="8">
      <c r="A8" s="7" t="inlineStr">
        <is>
          <t>Control: suma del % del presupuesto</t>
        </is>
      </c>
      <c r="B8" s="15">
        <f>SUM(D11:D70)</f>
        <v/>
      </c>
      <c r="C8" s="16">
        <f>IF(B8=0,"Pendiente",IF(ABS(B8-100)&lt;0.01,"✔ Correcto","✖ Debe sumar 100%"))</f>
        <v/>
      </c>
    </row>
    <row r="9">
      <c r="A9" s="9" t="inlineStr">
        <is>
          <t>Una fila por mes de obra · azul = usted diligencia · gris = automático</t>
        </is>
      </c>
    </row>
    <row r="10" ht="36" customHeight="1">
      <c r="A10" s="17" t="inlineStr">
        <is>
          <t>N° mes</t>
        </is>
      </c>
      <c r="B10" s="18" t="inlineStr">
        <is>
          <t>Mes (calendario)</t>
        </is>
      </c>
      <c r="C10" s="17" t="inlineStr">
        <is>
          <t>Fase de obra</t>
        </is>
      </c>
      <c r="D10" s="17" t="inlineStr">
        <is>
          <t>% del presupuesto</t>
        </is>
      </c>
      <c r="E10" s="17" t="inlineStr">
        <is>
          <t>Actividades principales del mes</t>
        </is>
      </c>
      <c r="F10" s="18" t="inlineStr">
        <is>
          <t>Desembolso estimado (COP)</t>
        </is>
      </c>
      <c r="G10" s="18" t="inlineStr">
        <is>
          <t>Avance acumulado planificado (%)</t>
        </is>
      </c>
    </row>
    <row r="11">
      <c r="A11" s="19" t="n"/>
      <c r="B11" s="20">
        <f>IF(OR(A11="",$B$5=""),"",EDATE($B$5,A11-1))</f>
        <v/>
      </c>
      <c r="C11" s="10" t="n"/>
      <c r="D11" s="21" t="n"/>
      <c r="E11" s="10" t="n"/>
      <c r="F11" s="22">
        <f>IF(OR(D11="",$B$6=""),"",$B$6*D11/100)</f>
        <v/>
      </c>
      <c r="G11" s="23">
        <f>IF(D11="","",SUM($D$11:D11))</f>
        <v/>
      </c>
    </row>
    <row r="12">
      <c r="A12" s="19" t="n"/>
      <c r="B12" s="20">
        <f>IF(OR(A12="",$B$5=""),"",EDATE($B$5,A12-1))</f>
        <v/>
      </c>
      <c r="C12" s="10" t="n"/>
      <c r="D12" s="21" t="n"/>
      <c r="E12" s="10" t="n"/>
      <c r="F12" s="22">
        <f>IF(OR(D12="",$B$6=""),"",$B$6*D12/100)</f>
        <v/>
      </c>
      <c r="G12" s="23">
        <f>IF(D12="","",SUM($D$11:D12))</f>
        <v/>
      </c>
    </row>
    <row r="13">
      <c r="A13" s="19" t="n"/>
      <c r="B13" s="20">
        <f>IF(OR(A13="",$B$5=""),"",EDATE($B$5,A13-1))</f>
        <v/>
      </c>
      <c r="C13" s="10" t="n"/>
      <c r="D13" s="21" t="n"/>
      <c r="E13" s="10" t="n"/>
      <c r="F13" s="22">
        <f>IF(OR(D13="",$B$6=""),"",$B$6*D13/100)</f>
        <v/>
      </c>
      <c r="G13" s="23">
        <f>IF(D13="","",SUM($D$11:D13))</f>
        <v/>
      </c>
    </row>
    <row r="14">
      <c r="A14" s="19" t="n"/>
      <c r="B14" s="20">
        <f>IF(OR(A14="",$B$5=""),"",EDATE($B$5,A14-1))</f>
        <v/>
      </c>
      <c r="C14" s="10" t="n"/>
      <c r="D14" s="21" t="n"/>
      <c r="E14" s="10" t="n"/>
      <c r="F14" s="22">
        <f>IF(OR(D14="",$B$6=""),"",$B$6*D14/100)</f>
        <v/>
      </c>
      <c r="G14" s="23">
        <f>IF(D14="","",SUM($D$11:D14))</f>
        <v/>
      </c>
    </row>
    <row r="15">
      <c r="A15" s="19" t="n"/>
      <c r="B15" s="20">
        <f>IF(OR(A15="",$B$5=""),"",EDATE($B$5,A15-1))</f>
        <v/>
      </c>
      <c r="C15" s="10" t="n"/>
      <c r="D15" s="21" t="n"/>
      <c r="E15" s="10" t="n"/>
      <c r="F15" s="22">
        <f>IF(OR(D15="",$B$6=""),"",$B$6*D15/100)</f>
        <v/>
      </c>
      <c r="G15" s="23">
        <f>IF(D15="","",SUM($D$11:D15))</f>
        <v/>
      </c>
    </row>
    <row r="16">
      <c r="A16" s="19" t="n"/>
      <c r="B16" s="20">
        <f>IF(OR(A16="",$B$5=""),"",EDATE($B$5,A16-1))</f>
        <v/>
      </c>
      <c r="C16" s="10" t="n"/>
      <c r="D16" s="21" t="n"/>
      <c r="E16" s="10" t="n"/>
      <c r="F16" s="22">
        <f>IF(OR(D16="",$B$6=""),"",$B$6*D16/100)</f>
        <v/>
      </c>
      <c r="G16" s="23">
        <f>IF(D16="","",SUM($D$11:D16))</f>
        <v/>
      </c>
    </row>
    <row r="17">
      <c r="A17" s="19" t="n"/>
      <c r="B17" s="20">
        <f>IF(OR(A17="",$B$5=""),"",EDATE($B$5,A17-1))</f>
        <v/>
      </c>
      <c r="C17" s="10" t="n"/>
      <c r="D17" s="21" t="n"/>
      <c r="E17" s="10" t="n"/>
      <c r="F17" s="22">
        <f>IF(OR(D17="",$B$6=""),"",$B$6*D17/100)</f>
        <v/>
      </c>
      <c r="G17" s="23">
        <f>IF(D17="","",SUM($D$11:D17))</f>
        <v/>
      </c>
    </row>
    <row r="18">
      <c r="A18" s="19" t="n"/>
      <c r="B18" s="20">
        <f>IF(OR(A18="",$B$5=""),"",EDATE($B$5,A18-1))</f>
        <v/>
      </c>
      <c r="C18" s="10" t="n"/>
      <c r="D18" s="21" t="n"/>
      <c r="E18" s="10" t="n"/>
      <c r="F18" s="22">
        <f>IF(OR(D18="",$B$6=""),"",$B$6*D18/100)</f>
        <v/>
      </c>
      <c r="G18" s="23">
        <f>IF(D18="","",SUM($D$11:D18))</f>
        <v/>
      </c>
    </row>
    <row r="19">
      <c r="A19" s="19" t="n"/>
      <c r="B19" s="20">
        <f>IF(OR(A19="",$B$5=""),"",EDATE($B$5,A19-1))</f>
        <v/>
      </c>
      <c r="C19" s="10" t="n"/>
      <c r="D19" s="21" t="n"/>
      <c r="E19" s="10" t="n"/>
      <c r="F19" s="22">
        <f>IF(OR(D19="",$B$6=""),"",$B$6*D19/100)</f>
        <v/>
      </c>
      <c r="G19" s="23">
        <f>IF(D19="","",SUM($D$11:D19))</f>
        <v/>
      </c>
    </row>
    <row r="20">
      <c r="A20" s="19" t="n"/>
      <c r="B20" s="20">
        <f>IF(OR(A20="",$B$5=""),"",EDATE($B$5,A20-1))</f>
        <v/>
      </c>
      <c r="C20" s="10" t="n"/>
      <c r="D20" s="21" t="n"/>
      <c r="E20" s="10" t="n"/>
      <c r="F20" s="22">
        <f>IF(OR(D20="",$B$6=""),"",$B$6*D20/100)</f>
        <v/>
      </c>
      <c r="G20" s="23">
        <f>IF(D20="","",SUM($D$11:D20))</f>
        <v/>
      </c>
    </row>
    <row r="21">
      <c r="A21" s="19" t="n"/>
      <c r="B21" s="20">
        <f>IF(OR(A21="",$B$5=""),"",EDATE($B$5,A21-1))</f>
        <v/>
      </c>
      <c r="C21" s="10" t="n"/>
      <c r="D21" s="21" t="n"/>
      <c r="E21" s="10" t="n"/>
      <c r="F21" s="22">
        <f>IF(OR(D21="",$B$6=""),"",$B$6*D21/100)</f>
        <v/>
      </c>
      <c r="G21" s="23">
        <f>IF(D21="","",SUM($D$11:D21))</f>
        <v/>
      </c>
    </row>
    <row r="22">
      <c r="A22" s="19" t="n"/>
      <c r="B22" s="20">
        <f>IF(OR(A22="",$B$5=""),"",EDATE($B$5,A22-1))</f>
        <v/>
      </c>
      <c r="C22" s="10" t="n"/>
      <c r="D22" s="21" t="n"/>
      <c r="E22" s="10" t="n"/>
      <c r="F22" s="22">
        <f>IF(OR(D22="",$B$6=""),"",$B$6*D22/100)</f>
        <v/>
      </c>
      <c r="G22" s="23">
        <f>IF(D22="","",SUM($D$11:D22))</f>
        <v/>
      </c>
    </row>
    <row r="23">
      <c r="A23" s="19" t="n"/>
      <c r="B23" s="20">
        <f>IF(OR(A23="",$B$5=""),"",EDATE($B$5,A23-1))</f>
        <v/>
      </c>
      <c r="C23" s="10" t="n"/>
      <c r="D23" s="21" t="n"/>
      <c r="E23" s="10" t="n"/>
      <c r="F23" s="22">
        <f>IF(OR(D23="",$B$6=""),"",$B$6*D23/100)</f>
        <v/>
      </c>
      <c r="G23" s="23">
        <f>IF(D23="","",SUM($D$11:D23))</f>
        <v/>
      </c>
    </row>
    <row r="24">
      <c r="A24" s="19" t="n"/>
      <c r="B24" s="20">
        <f>IF(OR(A24="",$B$5=""),"",EDATE($B$5,A24-1))</f>
        <v/>
      </c>
      <c r="C24" s="10" t="n"/>
      <c r="D24" s="21" t="n"/>
      <c r="E24" s="10" t="n"/>
      <c r="F24" s="22">
        <f>IF(OR(D24="",$B$6=""),"",$B$6*D24/100)</f>
        <v/>
      </c>
      <c r="G24" s="23">
        <f>IF(D24="","",SUM($D$11:D24))</f>
        <v/>
      </c>
    </row>
    <row r="25">
      <c r="A25" s="19" t="n"/>
      <c r="B25" s="20">
        <f>IF(OR(A25="",$B$5=""),"",EDATE($B$5,A25-1))</f>
        <v/>
      </c>
      <c r="C25" s="10" t="n"/>
      <c r="D25" s="21" t="n"/>
      <c r="E25" s="10" t="n"/>
      <c r="F25" s="22">
        <f>IF(OR(D25="",$B$6=""),"",$B$6*D25/100)</f>
        <v/>
      </c>
      <c r="G25" s="23">
        <f>IF(D25="","",SUM($D$11:D25))</f>
        <v/>
      </c>
    </row>
    <row r="26">
      <c r="A26" s="19" t="n"/>
      <c r="B26" s="20">
        <f>IF(OR(A26="",$B$5=""),"",EDATE($B$5,A26-1))</f>
        <v/>
      </c>
      <c r="C26" s="10" t="n"/>
      <c r="D26" s="21" t="n"/>
      <c r="E26" s="10" t="n"/>
      <c r="F26" s="22">
        <f>IF(OR(D26="",$B$6=""),"",$B$6*D26/100)</f>
        <v/>
      </c>
      <c r="G26" s="23">
        <f>IF(D26="","",SUM($D$11:D26))</f>
        <v/>
      </c>
    </row>
    <row r="27">
      <c r="A27" s="19" t="n"/>
      <c r="B27" s="20">
        <f>IF(OR(A27="",$B$5=""),"",EDATE($B$5,A27-1))</f>
        <v/>
      </c>
      <c r="C27" s="10" t="n"/>
      <c r="D27" s="21" t="n"/>
      <c r="E27" s="10" t="n"/>
      <c r="F27" s="22">
        <f>IF(OR(D27="",$B$6=""),"",$B$6*D27/100)</f>
        <v/>
      </c>
      <c r="G27" s="23">
        <f>IF(D27="","",SUM($D$11:D27))</f>
        <v/>
      </c>
    </row>
    <row r="28">
      <c r="A28" s="19" t="n"/>
      <c r="B28" s="20">
        <f>IF(OR(A28="",$B$5=""),"",EDATE($B$5,A28-1))</f>
        <v/>
      </c>
      <c r="C28" s="10" t="n"/>
      <c r="D28" s="21" t="n"/>
      <c r="E28" s="10" t="n"/>
      <c r="F28" s="22">
        <f>IF(OR(D28="",$B$6=""),"",$B$6*D28/100)</f>
        <v/>
      </c>
      <c r="G28" s="23">
        <f>IF(D28="","",SUM($D$11:D28))</f>
        <v/>
      </c>
    </row>
    <row r="29">
      <c r="A29" s="19" t="n"/>
      <c r="B29" s="20">
        <f>IF(OR(A29="",$B$5=""),"",EDATE($B$5,A29-1))</f>
        <v/>
      </c>
      <c r="C29" s="10" t="n"/>
      <c r="D29" s="21" t="n"/>
      <c r="E29" s="10" t="n"/>
      <c r="F29" s="22">
        <f>IF(OR(D29="",$B$6=""),"",$B$6*D29/100)</f>
        <v/>
      </c>
      <c r="G29" s="23">
        <f>IF(D29="","",SUM($D$11:D29))</f>
        <v/>
      </c>
    </row>
    <row r="30">
      <c r="A30" s="19" t="n"/>
      <c r="B30" s="20">
        <f>IF(OR(A30="",$B$5=""),"",EDATE($B$5,A30-1))</f>
        <v/>
      </c>
      <c r="C30" s="10" t="n"/>
      <c r="D30" s="21" t="n"/>
      <c r="E30" s="10" t="n"/>
      <c r="F30" s="22">
        <f>IF(OR(D30="",$B$6=""),"",$B$6*D30/100)</f>
        <v/>
      </c>
      <c r="G30" s="23">
        <f>IF(D30="","",SUM($D$11:D30))</f>
        <v/>
      </c>
    </row>
    <row r="31">
      <c r="A31" s="19" t="n"/>
      <c r="B31" s="20">
        <f>IF(OR(A31="",$B$5=""),"",EDATE($B$5,A31-1))</f>
        <v/>
      </c>
      <c r="C31" s="10" t="n"/>
      <c r="D31" s="21" t="n"/>
      <c r="E31" s="10" t="n"/>
      <c r="F31" s="22">
        <f>IF(OR(D31="",$B$6=""),"",$B$6*D31/100)</f>
        <v/>
      </c>
      <c r="G31" s="23">
        <f>IF(D31="","",SUM($D$11:D31))</f>
        <v/>
      </c>
    </row>
    <row r="32">
      <c r="A32" s="19" t="n"/>
      <c r="B32" s="20">
        <f>IF(OR(A32="",$B$5=""),"",EDATE($B$5,A32-1))</f>
        <v/>
      </c>
      <c r="C32" s="10" t="n"/>
      <c r="D32" s="21" t="n"/>
      <c r="E32" s="10" t="n"/>
      <c r="F32" s="22">
        <f>IF(OR(D32="",$B$6=""),"",$B$6*D32/100)</f>
        <v/>
      </c>
      <c r="G32" s="23">
        <f>IF(D32="","",SUM($D$11:D32))</f>
        <v/>
      </c>
    </row>
    <row r="33">
      <c r="A33" s="19" t="n"/>
      <c r="B33" s="20">
        <f>IF(OR(A33="",$B$5=""),"",EDATE($B$5,A33-1))</f>
        <v/>
      </c>
      <c r="C33" s="10" t="n"/>
      <c r="D33" s="21" t="n"/>
      <c r="E33" s="10" t="n"/>
      <c r="F33" s="22">
        <f>IF(OR(D33="",$B$6=""),"",$B$6*D33/100)</f>
        <v/>
      </c>
      <c r="G33" s="23">
        <f>IF(D33="","",SUM($D$11:D33))</f>
        <v/>
      </c>
    </row>
    <row r="34">
      <c r="A34" s="19" t="n"/>
      <c r="B34" s="20">
        <f>IF(OR(A34="",$B$5=""),"",EDATE($B$5,A34-1))</f>
        <v/>
      </c>
      <c r="C34" s="10" t="n"/>
      <c r="D34" s="21" t="n"/>
      <c r="E34" s="10" t="n"/>
      <c r="F34" s="22">
        <f>IF(OR(D34="",$B$6=""),"",$B$6*D34/100)</f>
        <v/>
      </c>
      <c r="G34" s="23">
        <f>IF(D34="","",SUM($D$11:D34))</f>
        <v/>
      </c>
    </row>
    <row r="35">
      <c r="A35" s="19" t="n"/>
      <c r="B35" s="20">
        <f>IF(OR(A35="",$B$5=""),"",EDATE($B$5,A35-1))</f>
        <v/>
      </c>
      <c r="C35" s="10" t="n"/>
      <c r="D35" s="21" t="n"/>
      <c r="E35" s="10" t="n"/>
      <c r="F35" s="22">
        <f>IF(OR(D35="",$B$6=""),"",$B$6*D35/100)</f>
        <v/>
      </c>
      <c r="G35" s="23">
        <f>IF(D35="","",SUM($D$11:D35))</f>
        <v/>
      </c>
    </row>
    <row r="36">
      <c r="A36" s="19" t="n"/>
      <c r="B36" s="20">
        <f>IF(OR(A36="",$B$5=""),"",EDATE($B$5,A36-1))</f>
        <v/>
      </c>
      <c r="C36" s="10" t="n"/>
      <c r="D36" s="21" t="n"/>
      <c r="E36" s="10" t="n"/>
      <c r="F36" s="22">
        <f>IF(OR(D36="",$B$6=""),"",$B$6*D36/100)</f>
        <v/>
      </c>
      <c r="G36" s="23">
        <f>IF(D36="","",SUM($D$11:D36))</f>
        <v/>
      </c>
    </row>
    <row r="37">
      <c r="A37" s="19" t="n"/>
      <c r="B37" s="20">
        <f>IF(OR(A37="",$B$5=""),"",EDATE($B$5,A37-1))</f>
        <v/>
      </c>
      <c r="C37" s="10" t="n"/>
      <c r="D37" s="21" t="n"/>
      <c r="E37" s="10" t="n"/>
      <c r="F37" s="22">
        <f>IF(OR(D37="",$B$6=""),"",$B$6*D37/100)</f>
        <v/>
      </c>
      <c r="G37" s="23">
        <f>IF(D37="","",SUM($D$11:D37))</f>
        <v/>
      </c>
    </row>
    <row r="38">
      <c r="A38" s="19" t="n"/>
      <c r="B38" s="20">
        <f>IF(OR(A38="",$B$5=""),"",EDATE($B$5,A38-1))</f>
        <v/>
      </c>
      <c r="C38" s="10" t="n"/>
      <c r="D38" s="21" t="n"/>
      <c r="E38" s="10" t="n"/>
      <c r="F38" s="22">
        <f>IF(OR(D38="",$B$6=""),"",$B$6*D38/100)</f>
        <v/>
      </c>
      <c r="G38" s="23">
        <f>IF(D38="","",SUM($D$11:D38))</f>
        <v/>
      </c>
    </row>
    <row r="39">
      <c r="A39" s="19" t="n"/>
      <c r="B39" s="20">
        <f>IF(OR(A39="",$B$5=""),"",EDATE($B$5,A39-1))</f>
        <v/>
      </c>
      <c r="C39" s="10" t="n"/>
      <c r="D39" s="21" t="n"/>
      <c r="E39" s="10" t="n"/>
      <c r="F39" s="22">
        <f>IF(OR(D39="",$B$6=""),"",$B$6*D39/100)</f>
        <v/>
      </c>
      <c r="G39" s="23">
        <f>IF(D39="","",SUM($D$11:D39))</f>
        <v/>
      </c>
    </row>
    <row r="40">
      <c r="A40" s="19" t="n"/>
      <c r="B40" s="20">
        <f>IF(OR(A40="",$B$5=""),"",EDATE($B$5,A40-1))</f>
        <v/>
      </c>
      <c r="C40" s="10" t="n"/>
      <c r="D40" s="21" t="n"/>
      <c r="E40" s="10" t="n"/>
      <c r="F40" s="22">
        <f>IF(OR(D40="",$B$6=""),"",$B$6*D40/100)</f>
        <v/>
      </c>
      <c r="G40" s="23">
        <f>IF(D40="","",SUM($D$11:D40))</f>
        <v/>
      </c>
    </row>
    <row r="41">
      <c r="A41" s="19" t="n"/>
      <c r="B41" s="20">
        <f>IF(OR(A41="",$B$5=""),"",EDATE($B$5,A41-1))</f>
        <v/>
      </c>
      <c r="C41" s="10" t="n"/>
      <c r="D41" s="21" t="n"/>
      <c r="E41" s="10" t="n"/>
      <c r="F41" s="22">
        <f>IF(OR(D41="",$B$6=""),"",$B$6*D41/100)</f>
        <v/>
      </c>
      <c r="G41" s="23">
        <f>IF(D41="","",SUM($D$11:D41))</f>
        <v/>
      </c>
    </row>
    <row r="42">
      <c r="A42" s="19" t="n"/>
      <c r="B42" s="20">
        <f>IF(OR(A42="",$B$5=""),"",EDATE($B$5,A42-1))</f>
        <v/>
      </c>
      <c r="C42" s="10" t="n"/>
      <c r="D42" s="21" t="n"/>
      <c r="E42" s="10" t="n"/>
      <c r="F42" s="22">
        <f>IF(OR(D42="",$B$6=""),"",$B$6*D42/100)</f>
        <v/>
      </c>
      <c r="G42" s="23">
        <f>IF(D42="","",SUM($D$11:D42))</f>
        <v/>
      </c>
    </row>
    <row r="43">
      <c r="A43" s="19" t="n"/>
      <c r="B43" s="20">
        <f>IF(OR(A43="",$B$5=""),"",EDATE($B$5,A43-1))</f>
        <v/>
      </c>
      <c r="C43" s="10" t="n"/>
      <c r="D43" s="21" t="n"/>
      <c r="E43" s="10" t="n"/>
      <c r="F43" s="22">
        <f>IF(OR(D43="",$B$6=""),"",$B$6*D43/100)</f>
        <v/>
      </c>
      <c r="G43" s="23">
        <f>IF(D43="","",SUM($D$11:D43))</f>
        <v/>
      </c>
    </row>
    <row r="44">
      <c r="A44" s="19" t="n"/>
      <c r="B44" s="20">
        <f>IF(OR(A44="",$B$5=""),"",EDATE($B$5,A44-1))</f>
        <v/>
      </c>
      <c r="C44" s="10" t="n"/>
      <c r="D44" s="21" t="n"/>
      <c r="E44" s="10" t="n"/>
      <c r="F44" s="22">
        <f>IF(OR(D44="",$B$6=""),"",$B$6*D44/100)</f>
        <v/>
      </c>
      <c r="G44" s="23">
        <f>IF(D44="","",SUM($D$11:D44))</f>
        <v/>
      </c>
    </row>
    <row r="45">
      <c r="A45" s="19" t="n"/>
      <c r="B45" s="20">
        <f>IF(OR(A45="",$B$5=""),"",EDATE($B$5,A45-1))</f>
        <v/>
      </c>
      <c r="C45" s="10" t="n"/>
      <c r="D45" s="21" t="n"/>
      <c r="E45" s="10" t="n"/>
      <c r="F45" s="22">
        <f>IF(OR(D45="",$B$6=""),"",$B$6*D45/100)</f>
        <v/>
      </c>
      <c r="G45" s="23">
        <f>IF(D45="","",SUM($D$11:D45))</f>
        <v/>
      </c>
    </row>
    <row r="46">
      <c r="A46" s="19" t="n"/>
      <c r="B46" s="20">
        <f>IF(OR(A46="",$B$5=""),"",EDATE($B$5,A46-1))</f>
        <v/>
      </c>
      <c r="C46" s="10" t="n"/>
      <c r="D46" s="21" t="n"/>
      <c r="E46" s="10" t="n"/>
      <c r="F46" s="22">
        <f>IF(OR(D46="",$B$6=""),"",$B$6*D46/100)</f>
        <v/>
      </c>
      <c r="G46" s="23">
        <f>IF(D46="","",SUM($D$11:D46))</f>
        <v/>
      </c>
    </row>
    <row r="47">
      <c r="A47" s="19" t="n"/>
      <c r="B47" s="20">
        <f>IF(OR(A47="",$B$5=""),"",EDATE($B$5,A47-1))</f>
        <v/>
      </c>
      <c r="C47" s="10" t="n"/>
      <c r="D47" s="21" t="n"/>
      <c r="E47" s="10" t="n"/>
      <c r="F47" s="22">
        <f>IF(OR(D47="",$B$6=""),"",$B$6*D47/100)</f>
        <v/>
      </c>
      <c r="G47" s="23">
        <f>IF(D47="","",SUM($D$11:D47))</f>
        <v/>
      </c>
    </row>
    <row r="48">
      <c r="A48" s="19" t="n"/>
      <c r="B48" s="20">
        <f>IF(OR(A48="",$B$5=""),"",EDATE($B$5,A48-1))</f>
        <v/>
      </c>
      <c r="C48" s="10" t="n"/>
      <c r="D48" s="21" t="n"/>
      <c r="E48" s="10" t="n"/>
      <c r="F48" s="22">
        <f>IF(OR(D48="",$B$6=""),"",$B$6*D48/100)</f>
        <v/>
      </c>
      <c r="G48" s="23">
        <f>IF(D48="","",SUM($D$11:D48))</f>
        <v/>
      </c>
    </row>
    <row r="49">
      <c r="A49" s="19" t="n"/>
      <c r="B49" s="20">
        <f>IF(OR(A49="",$B$5=""),"",EDATE($B$5,A49-1))</f>
        <v/>
      </c>
      <c r="C49" s="10" t="n"/>
      <c r="D49" s="21" t="n"/>
      <c r="E49" s="10" t="n"/>
      <c r="F49" s="22">
        <f>IF(OR(D49="",$B$6=""),"",$B$6*D49/100)</f>
        <v/>
      </c>
      <c r="G49" s="23">
        <f>IF(D49="","",SUM($D$11:D49))</f>
        <v/>
      </c>
    </row>
    <row r="50">
      <c r="A50" s="19" t="n"/>
      <c r="B50" s="20">
        <f>IF(OR(A50="",$B$5=""),"",EDATE($B$5,A50-1))</f>
        <v/>
      </c>
      <c r="C50" s="10" t="n"/>
      <c r="D50" s="21" t="n"/>
      <c r="E50" s="10" t="n"/>
      <c r="F50" s="22">
        <f>IF(OR(D50="",$B$6=""),"",$B$6*D50/100)</f>
        <v/>
      </c>
      <c r="G50" s="23">
        <f>IF(D50="","",SUM($D$11:D50))</f>
        <v/>
      </c>
    </row>
    <row r="51">
      <c r="A51" s="19" t="n"/>
      <c r="B51" s="20">
        <f>IF(OR(A51="",$B$5=""),"",EDATE($B$5,A51-1))</f>
        <v/>
      </c>
      <c r="C51" s="10" t="n"/>
      <c r="D51" s="21" t="n"/>
      <c r="E51" s="10" t="n"/>
      <c r="F51" s="22">
        <f>IF(OR(D51="",$B$6=""),"",$B$6*D51/100)</f>
        <v/>
      </c>
      <c r="G51" s="23">
        <f>IF(D51="","",SUM($D$11:D51))</f>
        <v/>
      </c>
    </row>
    <row r="52">
      <c r="A52" s="19" t="n"/>
      <c r="B52" s="20">
        <f>IF(OR(A52="",$B$5=""),"",EDATE($B$5,A52-1))</f>
        <v/>
      </c>
      <c r="C52" s="10" t="n"/>
      <c r="D52" s="21" t="n"/>
      <c r="E52" s="10" t="n"/>
      <c r="F52" s="22">
        <f>IF(OR(D52="",$B$6=""),"",$B$6*D52/100)</f>
        <v/>
      </c>
      <c r="G52" s="23">
        <f>IF(D52="","",SUM($D$11:D52))</f>
        <v/>
      </c>
    </row>
    <row r="53">
      <c r="A53" s="19" t="n"/>
      <c r="B53" s="20">
        <f>IF(OR(A53="",$B$5=""),"",EDATE($B$5,A53-1))</f>
        <v/>
      </c>
      <c r="C53" s="10" t="n"/>
      <c r="D53" s="21" t="n"/>
      <c r="E53" s="10" t="n"/>
      <c r="F53" s="22">
        <f>IF(OR(D53="",$B$6=""),"",$B$6*D53/100)</f>
        <v/>
      </c>
      <c r="G53" s="23">
        <f>IF(D53="","",SUM($D$11:D53))</f>
        <v/>
      </c>
    </row>
    <row r="54">
      <c r="A54" s="19" t="n"/>
      <c r="B54" s="20">
        <f>IF(OR(A54="",$B$5=""),"",EDATE($B$5,A54-1))</f>
        <v/>
      </c>
      <c r="C54" s="10" t="n"/>
      <c r="D54" s="21" t="n"/>
      <c r="E54" s="10" t="n"/>
      <c r="F54" s="22">
        <f>IF(OR(D54="",$B$6=""),"",$B$6*D54/100)</f>
        <v/>
      </c>
      <c r="G54" s="23">
        <f>IF(D54="","",SUM($D$11:D54))</f>
        <v/>
      </c>
    </row>
    <row r="55">
      <c r="A55" s="19" t="n"/>
      <c r="B55" s="20">
        <f>IF(OR(A55="",$B$5=""),"",EDATE($B$5,A55-1))</f>
        <v/>
      </c>
      <c r="C55" s="10" t="n"/>
      <c r="D55" s="21" t="n"/>
      <c r="E55" s="10" t="n"/>
      <c r="F55" s="22">
        <f>IF(OR(D55="",$B$6=""),"",$B$6*D55/100)</f>
        <v/>
      </c>
      <c r="G55" s="23">
        <f>IF(D55="","",SUM($D$11:D55))</f>
        <v/>
      </c>
    </row>
    <row r="56">
      <c r="A56" s="19" t="n"/>
      <c r="B56" s="20">
        <f>IF(OR(A56="",$B$5=""),"",EDATE($B$5,A56-1))</f>
        <v/>
      </c>
      <c r="C56" s="10" t="n"/>
      <c r="D56" s="21" t="n"/>
      <c r="E56" s="10" t="n"/>
      <c r="F56" s="22">
        <f>IF(OR(D56="",$B$6=""),"",$B$6*D56/100)</f>
        <v/>
      </c>
      <c r="G56" s="23">
        <f>IF(D56="","",SUM($D$11:D56))</f>
        <v/>
      </c>
    </row>
    <row r="57">
      <c r="A57" s="19" t="n"/>
      <c r="B57" s="20">
        <f>IF(OR(A57="",$B$5=""),"",EDATE($B$5,A57-1))</f>
        <v/>
      </c>
      <c r="C57" s="10" t="n"/>
      <c r="D57" s="21" t="n"/>
      <c r="E57" s="10" t="n"/>
      <c r="F57" s="22">
        <f>IF(OR(D57="",$B$6=""),"",$B$6*D57/100)</f>
        <v/>
      </c>
      <c r="G57" s="23">
        <f>IF(D57="","",SUM($D$11:D57))</f>
        <v/>
      </c>
    </row>
    <row r="58">
      <c r="A58" s="19" t="n"/>
      <c r="B58" s="20">
        <f>IF(OR(A58="",$B$5=""),"",EDATE($B$5,A58-1))</f>
        <v/>
      </c>
      <c r="C58" s="10" t="n"/>
      <c r="D58" s="21" t="n"/>
      <c r="E58" s="10" t="n"/>
      <c r="F58" s="22">
        <f>IF(OR(D58="",$B$6=""),"",$B$6*D58/100)</f>
        <v/>
      </c>
      <c r="G58" s="23">
        <f>IF(D58="","",SUM($D$11:D58))</f>
        <v/>
      </c>
    </row>
    <row r="59">
      <c r="A59" s="19" t="n"/>
      <c r="B59" s="20">
        <f>IF(OR(A59="",$B$5=""),"",EDATE($B$5,A59-1))</f>
        <v/>
      </c>
      <c r="C59" s="10" t="n"/>
      <c r="D59" s="21" t="n"/>
      <c r="E59" s="10" t="n"/>
      <c r="F59" s="22">
        <f>IF(OR(D59="",$B$6=""),"",$B$6*D59/100)</f>
        <v/>
      </c>
      <c r="G59" s="23">
        <f>IF(D59="","",SUM($D$11:D59))</f>
        <v/>
      </c>
    </row>
    <row r="60">
      <c r="A60" s="19" t="n"/>
      <c r="B60" s="20">
        <f>IF(OR(A60="",$B$5=""),"",EDATE($B$5,A60-1))</f>
        <v/>
      </c>
      <c r="C60" s="10" t="n"/>
      <c r="D60" s="21" t="n"/>
      <c r="E60" s="10" t="n"/>
      <c r="F60" s="22">
        <f>IF(OR(D60="",$B$6=""),"",$B$6*D60/100)</f>
        <v/>
      </c>
      <c r="G60" s="23">
        <f>IF(D60="","",SUM($D$11:D60))</f>
        <v/>
      </c>
    </row>
    <row r="61">
      <c r="A61" s="19" t="n"/>
      <c r="B61" s="20">
        <f>IF(OR(A61="",$B$5=""),"",EDATE($B$5,A61-1))</f>
        <v/>
      </c>
      <c r="C61" s="10" t="n"/>
      <c r="D61" s="21" t="n"/>
      <c r="E61" s="10" t="n"/>
      <c r="F61" s="22">
        <f>IF(OR(D61="",$B$6=""),"",$B$6*D61/100)</f>
        <v/>
      </c>
      <c r="G61" s="23">
        <f>IF(D61="","",SUM($D$11:D61))</f>
        <v/>
      </c>
    </row>
    <row r="62">
      <c r="A62" s="19" t="n"/>
      <c r="B62" s="20">
        <f>IF(OR(A62="",$B$5=""),"",EDATE($B$5,A62-1))</f>
        <v/>
      </c>
      <c r="C62" s="10" t="n"/>
      <c r="D62" s="21" t="n"/>
      <c r="E62" s="10" t="n"/>
      <c r="F62" s="22">
        <f>IF(OR(D62="",$B$6=""),"",$B$6*D62/100)</f>
        <v/>
      </c>
      <c r="G62" s="23">
        <f>IF(D62="","",SUM($D$11:D62))</f>
        <v/>
      </c>
    </row>
    <row r="63">
      <c r="A63" s="19" t="n"/>
      <c r="B63" s="20">
        <f>IF(OR(A63="",$B$5=""),"",EDATE($B$5,A63-1))</f>
        <v/>
      </c>
      <c r="C63" s="10" t="n"/>
      <c r="D63" s="21" t="n"/>
      <c r="E63" s="10" t="n"/>
      <c r="F63" s="22">
        <f>IF(OR(D63="",$B$6=""),"",$B$6*D63/100)</f>
        <v/>
      </c>
      <c r="G63" s="23">
        <f>IF(D63="","",SUM($D$11:D63))</f>
        <v/>
      </c>
    </row>
    <row r="64">
      <c r="A64" s="19" t="n"/>
      <c r="B64" s="20">
        <f>IF(OR(A64="",$B$5=""),"",EDATE($B$5,A64-1))</f>
        <v/>
      </c>
      <c r="C64" s="10" t="n"/>
      <c r="D64" s="21" t="n"/>
      <c r="E64" s="10" t="n"/>
      <c r="F64" s="22">
        <f>IF(OR(D64="",$B$6=""),"",$B$6*D64/100)</f>
        <v/>
      </c>
      <c r="G64" s="23">
        <f>IF(D64="","",SUM($D$11:D64))</f>
        <v/>
      </c>
    </row>
    <row r="65">
      <c r="A65" s="19" t="n"/>
      <c r="B65" s="20">
        <f>IF(OR(A65="",$B$5=""),"",EDATE($B$5,A65-1))</f>
        <v/>
      </c>
      <c r="C65" s="10" t="n"/>
      <c r="D65" s="21" t="n"/>
      <c r="E65" s="10" t="n"/>
      <c r="F65" s="22">
        <f>IF(OR(D65="",$B$6=""),"",$B$6*D65/100)</f>
        <v/>
      </c>
      <c r="G65" s="23">
        <f>IF(D65="","",SUM($D$11:D65))</f>
        <v/>
      </c>
    </row>
    <row r="66">
      <c r="A66" s="19" t="n"/>
      <c r="B66" s="20">
        <f>IF(OR(A66="",$B$5=""),"",EDATE($B$5,A66-1))</f>
        <v/>
      </c>
      <c r="C66" s="10" t="n"/>
      <c r="D66" s="21" t="n"/>
      <c r="E66" s="10" t="n"/>
      <c r="F66" s="22">
        <f>IF(OR(D66="",$B$6=""),"",$B$6*D66/100)</f>
        <v/>
      </c>
      <c r="G66" s="23">
        <f>IF(D66="","",SUM($D$11:D66))</f>
        <v/>
      </c>
    </row>
    <row r="67">
      <c r="A67" s="19" t="n"/>
      <c r="B67" s="20">
        <f>IF(OR(A67="",$B$5=""),"",EDATE($B$5,A67-1))</f>
        <v/>
      </c>
      <c r="C67" s="10" t="n"/>
      <c r="D67" s="21" t="n"/>
      <c r="E67" s="10" t="n"/>
      <c r="F67" s="22">
        <f>IF(OR(D67="",$B$6=""),"",$B$6*D67/100)</f>
        <v/>
      </c>
      <c r="G67" s="23">
        <f>IF(D67="","",SUM($D$11:D67))</f>
        <v/>
      </c>
    </row>
    <row r="68">
      <c r="A68" s="19" t="n"/>
      <c r="B68" s="20">
        <f>IF(OR(A68="",$B$5=""),"",EDATE($B$5,A68-1))</f>
        <v/>
      </c>
      <c r="C68" s="10" t="n"/>
      <c r="D68" s="21" t="n"/>
      <c r="E68" s="10" t="n"/>
      <c r="F68" s="22">
        <f>IF(OR(D68="",$B$6=""),"",$B$6*D68/100)</f>
        <v/>
      </c>
      <c r="G68" s="23">
        <f>IF(D68="","",SUM($D$11:D68))</f>
        <v/>
      </c>
    </row>
    <row r="69">
      <c r="A69" s="19" t="n"/>
      <c r="B69" s="20">
        <f>IF(OR(A69="",$B$5=""),"",EDATE($B$5,A69-1))</f>
        <v/>
      </c>
      <c r="C69" s="10" t="n"/>
      <c r="D69" s="21" t="n"/>
      <c r="E69" s="10" t="n"/>
      <c r="F69" s="22">
        <f>IF(OR(D69="",$B$6=""),"",$B$6*D69/100)</f>
        <v/>
      </c>
      <c r="G69" s="23">
        <f>IF(D69="","",SUM($D$11:D69))</f>
        <v/>
      </c>
    </row>
    <row r="70">
      <c r="A70" s="19" t="n"/>
      <c r="B70" s="20">
        <f>IF(OR(A70="",$B$5=""),"",EDATE($B$5,A70-1))</f>
        <v/>
      </c>
      <c r="C70" s="10" t="n"/>
      <c r="D70" s="21" t="n"/>
      <c r="E70" s="10" t="n"/>
      <c r="F70" s="22">
        <f>IF(OR(D70="",$B$6=""),"",$B$6*D70/100)</f>
        <v/>
      </c>
      <c r="G70" s="23">
        <f>IF(D70="","",SUM($D$11:D70))</f>
        <v/>
      </c>
    </row>
  </sheetData>
  <mergeCells count="6">
    <mergeCell ref="B6:C6"/>
    <mergeCell ref="A1:G1"/>
    <mergeCell ref="B7:C7"/>
    <mergeCell ref="B5:C5"/>
    <mergeCell ref="A2:G2"/>
    <mergeCell ref="B4:C4"/>
  </mergeCells>
  <conditionalFormatting sqref="B8:C8">
    <cfRule type="expression" priority="1" dxfId="0">
      <formula>AND($B$8&gt;0,ABS($B$8-100)&lt;0.01)</formula>
    </cfRule>
    <cfRule type="expression" priority="2" dxfId="1">
      <formula>AND($B$8&gt;0,ABS($B$8-100)&gt;=0.01)</formula>
    </cfRule>
  </conditionalFormatting>
  <dataValidations count="5">
    <dataValidation sqref="A11:A70" showDropDown="0" showInputMessage="0" showErrorMessage="1" allowBlank="1" errorTitle="N° de mes" error="Escriba un número entero entre 1 y 60." type="whole" operator="between">
      <formula1>1</formula1>
      <formula2>60</formula2>
    </dataValidation>
    <dataValidation sqref="C11:C70" showDropDown="0" showInputMessage="0" showErrorMessage="1" allowBlank="1" errorTitle="Fase de obra" error="Elija una fase de la lista desplegable." type="list">
      <formula1>=Fases!$A$6:$A$12</formula1>
    </dataValidation>
    <dataValidation sqref="D11:D70" showDropDown="0" showInputMessage="0" showErrorMessage="1" allowBlank="1" errorTitle="% del presupuesto" error="Escriba un número entre 0 y 100 (ejemplo: 4.5)." type="decimal" operator="between">
      <formula1>0</formula1>
      <formula2>100</formula2>
    </dataValidation>
    <dataValidation sqref="B5" showDropDown="0" showInputMessage="0" showErrorMessage="1" allowBlank="1" errorTitle="Fecha" error="Escriba una fecha válida (dd/mm/aaaa)." type="date" operator="greaterThan">
      <formula1>43831</formula1>
    </dataValidation>
    <dataValidation sqref="B6" showDropDown="0" showInputMessage="0" showErrorMessage="1" allowBlank="1" errorTitle="Presupuesto" error="Escriba el valor total en pesos, sin puntos ni símbolos." type="decimal" operator="greaterThan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5B6F99"/>
    <outlinePr summaryBelow="1" summaryRight="1"/>
    <pageSetUpPr fitToPage="1"/>
  </sheetPr>
  <dimension ref="A1:G7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30" customWidth="1" min="3" max="3"/>
    <col width="16" customWidth="1" min="4" max="4"/>
    <col width="62" customWidth="1" min="5" max="5"/>
    <col width="24" customWidth="1" min="6" max="6"/>
    <col width="22" customWidth="1" min="7" max="7"/>
  </cols>
  <sheetData>
    <row r="1" ht="38" customHeight="1">
      <c r="A1" s="1" t="inlineStr">
        <is>
          <t>INN-LOCK · Cronograma de obra y desembolsos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Complete solo las celdas azules. Las celdas grises se calculan solas.</t>
        </is>
      </c>
      <c r="B2" s="2" t="n"/>
      <c r="C2" s="2" t="n"/>
      <c r="D2" s="2" t="n"/>
      <c r="E2" s="2" t="n"/>
      <c r="F2" s="2" t="n"/>
      <c r="G2" s="2" t="n"/>
    </row>
    <row r="3" ht="4" customHeight="1">
      <c r="A3" s="4" t="n"/>
      <c r="B3" s="4" t="n"/>
      <c r="C3" s="4" t="n"/>
      <c r="D3" s="4" t="n"/>
      <c r="E3" s="4" t="n"/>
      <c r="F3" s="4" t="n"/>
      <c r="G3" s="4" t="n"/>
    </row>
    <row r="4">
      <c r="A4" s="7" t="inlineStr">
        <is>
          <t>Nombre del proyecto</t>
        </is>
      </c>
      <c r="B4" s="10" t="inlineStr">
        <is>
          <t>Torres del Parque</t>
        </is>
      </c>
      <c r="C4" s="11" t="n"/>
    </row>
    <row r="5">
      <c r="A5" s="7" t="inlineStr">
        <is>
          <t>Fecha de inicio de obra</t>
        </is>
      </c>
      <c r="B5" s="12" t="n">
        <v>46327</v>
      </c>
      <c r="C5" s="11" t="n"/>
    </row>
    <row r="6">
      <c r="A6" s="7" t="inlineStr">
        <is>
          <t>Presupuesto de obra (COP)</t>
        </is>
      </c>
      <c r="B6" s="13" t="n">
        <v>38400000000</v>
      </c>
      <c r="C6" s="11" t="n"/>
    </row>
    <row r="7">
      <c r="A7" s="7" t="inlineStr">
        <is>
          <t>Duración (meses)</t>
        </is>
      </c>
      <c r="B7" s="7">
        <f>COUNT(A11:A70)</f>
        <v/>
      </c>
      <c r="C7" s="14" t="n"/>
    </row>
    <row r="8">
      <c r="A8" s="7" t="inlineStr">
        <is>
          <t>Control: suma del % del presupuesto</t>
        </is>
      </c>
      <c r="B8" s="15">
        <f>SUM(D11:D70)</f>
        <v/>
      </c>
      <c r="C8" s="16">
        <f>IF(B8=0,"Pendiente",IF(ABS(B8-100)&lt;0.01,"✔ Correcto","✖ Debe sumar 100%"))</f>
        <v/>
      </c>
    </row>
    <row r="9">
      <c r="A9" s="9" t="inlineStr">
        <is>
          <t>Una fila por mes de obra · azul = usted diligencia · gris = automático</t>
        </is>
      </c>
    </row>
    <row r="10" ht="36" customHeight="1">
      <c r="A10" s="17" t="inlineStr">
        <is>
          <t>N° mes</t>
        </is>
      </c>
      <c r="B10" s="18" t="inlineStr">
        <is>
          <t>Mes (calendario)</t>
        </is>
      </c>
      <c r="C10" s="17" t="inlineStr">
        <is>
          <t>Fase de obra</t>
        </is>
      </c>
      <c r="D10" s="17" t="inlineStr">
        <is>
          <t>% del presupuesto</t>
        </is>
      </c>
      <c r="E10" s="17" t="inlineStr">
        <is>
          <t>Actividades principales del mes</t>
        </is>
      </c>
      <c r="F10" s="18" t="inlineStr">
        <is>
          <t>Desembolso estimado (COP)</t>
        </is>
      </c>
      <c r="G10" s="18" t="inlineStr">
        <is>
          <t>Avance acumulado planificado (%)</t>
        </is>
      </c>
    </row>
    <row r="11">
      <c r="A11" s="19" t="n">
        <v>1</v>
      </c>
      <c r="B11" s="20">
        <f>IF(OR(A11="",$B$5=""),"",EDATE($B$5,A11-1))</f>
        <v/>
      </c>
      <c r="C11" s="10" t="inlineStr">
        <is>
          <t>Preliminares y licencias</t>
        </is>
      </c>
      <c r="D11" s="21" t="n">
        <v>4</v>
      </c>
      <c r="E11" s="10" t="inlineStr">
        <is>
          <t>Cerramiento y campamento de obra; Descapote y localización; Estudios de suelos y topografía</t>
        </is>
      </c>
      <c r="F11" s="22">
        <f>IF(OR(D11="",$B$6=""),"",$B$6*D11/100)</f>
        <v/>
      </c>
      <c r="G11" s="23">
        <f>IF(D11="","",SUM($D$11:D11))</f>
        <v/>
      </c>
    </row>
    <row r="12">
      <c r="A12" s="19" t="n">
        <v>2</v>
      </c>
      <c r="B12" s="20">
        <f>IF(OR(A12="",$B$5=""),"",EDATE($B$5,A12-1))</f>
        <v/>
      </c>
      <c r="C12" s="10" t="inlineStr">
        <is>
          <t>Preliminares y licencias</t>
        </is>
      </c>
      <c r="D12" s="21" t="n">
        <v>4</v>
      </c>
      <c r="E12" s="10" t="inlineStr">
        <is>
          <t>Descapote y localización; Estudios de suelos y topografía; Instalación de redes provisionales</t>
        </is>
      </c>
      <c r="F12" s="22">
        <f>IF(OR(D12="",$B$6=""),"",$B$6*D12/100)</f>
        <v/>
      </c>
      <c r="G12" s="23">
        <f>IF(D12="","",SUM($D$11:D12))</f>
        <v/>
      </c>
    </row>
    <row r="13">
      <c r="A13" s="19" t="n">
        <v>3</v>
      </c>
      <c r="B13" s="20">
        <f>IF(OR(A13="",$B$5=""),"",EDATE($B$5,A13-1))</f>
        <v/>
      </c>
      <c r="C13" s="10" t="inlineStr">
        <is>
          <t>Excavación y cimentación</t>
        </is>
      </c>
      <c r="D13" s="21" t="n">
        <v>4.67</v>
      </c>
      <c r="E13" s="10" t="inlineStr">
        <is>
          <t>Excavación mecánica y entibado; Pilotaje y vigas de cimentación; Fundida de placa de contrapiso</t>
        </is>
      </c>
      <c r="F13" s="22">
        <f>IF(OR(D13="",$B$6=""),"",$B$6*D13/100)</f>
        <v/>
      </c>
      <c r="G13" s="23">
        <f>IF(D13="","",SUM($D$11:D13))</f>
        <v/>
      </c>
    </row>
    <row r="14">
      <c r="A14" s="19" t="n">
        <v>4</v>
      </c>
      <c r="B14" s="20">
        <f>IF(OR(A14="",$B$5=""),"",EDATE($B$5,A14-1))</f>
        <v/>
      </c>
      <c r="C14" s="10" t="inlineStr">
        <is>
          <t>Excavación y cimentación</t>
        </is>
      </c>
      <c r="D14" s="21" t="n">
        <v>4.67</v>
      </c>
      <c r="E14" s="10" t="inlineStr">
        <is>
          <t>Pilotaje y vigas de cimentación; Fundida de placa de contrapiso; Impermeabilización de sótanos</t>
        </is>
      </c>
      <c r="F14" s="22">
        <f>IF(OR(D14="",$B$6=""),"",$B$6*D14/100)</f>
        <v/>
      </c>
      <c r="G14" s="23">
        <f>IF(D14="","",SUM($D$11:D14))</f>
        <v/>
      </c>
    </row>
    <row r="15">
      <c r="A15" s="19" t="n">
        <v>5</v>
      </c>
      <c r="B15" s="20">
        <f>IF(OR(A15="",$B$5=""),"",EDATE($B$5,A15-1))</f>
        <v/>
      </c>
      <c r="C15" s="10" t="inlineStr">
        <is>
          <t>Excavación y cimentación</t>
        </is>
      </c>
      <c r="D15" s="21" t="n">
        <v>4.66</v>
      </c>
      <c r="E15" s="10" t="inlineStr">
        <is>
          <t>Fundida de placa de contrapiso; Impermeabilización de sótanos; Excavación mecánica y entibado</t>
        </is>
      </c>
      <c r="F15" s="22">
        <f>IF(OR(D15="",$B$6=""),"",$B$6*D15/100)</f>
        <v/>
      </c>
      <c r="G15" s="23">
        <f>IF(D15="","",SUM($D$11:D15))</f>
        <v/>
      </c>
    </row>
    <row r="16">
      <c r="A16" s="19" t="n">
        <v>6</v>
      </c>
      <c r="B16" s="20">
        <f>IF(OR(A16="",$B$5=""),"",EDATE($B$5,A16-1))</f>
        <v/>
      </c>
      <c r="C16" s="10" t="inlineStr">
        <is>
          <t>Estructura</t>
        </is>
      </c>
      <c r="D16" s="21" t="n">
        <v>4.29</v>
      </c>
      <c r="E16" s="10" t="inlineStr">
        <is>
          <t>Armado de acero de refuerzo; Fundida de columnas y pantallas; Fundida de placas de entrepiso</t>
        </is>
      </c>
      <c r="F16" s="22">
        <f>IF(OR(D16="",$B$6=""),"",$B$6*D16/100)</f>
        <v/>
      </c>
      <c r="G16" s="23">
        <f>IF(D16="","",SUM($D$11:D16))</f>
        <v/>
      </c>
    </row>
    <row r="17">
      <c r="A17" s="19" t="n">
        <v>7</v>
      </c>
      <c r="B17" s="20">
        <f>IF(OR(A17="",$B$5=""),"",EDATE($B$5,A17-1))</f>
        <v/>
      </c>
      <c r="C17" s="10" t="inlineStr">
        <is>
          <t>Estructura</t>
        </is>
      </c>
      <c r="D17" s="21" t="n">
        <v>4.29</v>
      </c>
      <c r="E17" s="10" t="inlineStr">
        <is>
          <t>Fundida de columnas y pantallas; Fundida de placas de entrepiso; Pruebas de resistencia de concreto</t>
        </is>
      </c>
      <c r="F17" s="22">
        <f>IF(OR(D17="",$B$6=""),"",$B$6*D17/100)</f>
        <v/>
      </c>
      <c r="G17" s="23">
        <f>IF(D17="","",SUM($D$11:D17))</f>
        <v/>
      </c>
    </row>
    <row r="18">
      <c r="A18" s="19" t="n">
        <v>8</v>
      </c>
      <c r="B18" s="20">
        <f>IF(OR(A18="",$B$5=""),"",EDATE($B$5,A18-1))</f>
        <v/>
      </c>
      <c r="C18" s="10" t="inlineStr">
        <is>
          <t>Estructura</t>
        </is>
      </c>
      <c r="D18" s="21" t="n">
        <v>4.29</v>
      </c>
      <c r="E18" s="10" t="inlineStr">
        <is>
          <t>Fundida de placas de entrepiso; Pruebas de resistencia de concreto; Armado de acero de refuerzo</t>
        </is>
      </c>
      <c r="F18" s="22">
        <f>IF(OR(D18="",$B$6=""),"",$B$6*D18/100)</f>
        <v/>
      </c>
      <c r="G18" s="23">
        <f>IF(D18="","",SUM($D$11:D18))</f>
        <v/>
      </c>
    </row>
    <row r="19">
      <c r="A19" s="19" t="n">
        <v>9</v>
      </c>
      <c r="B19" s="20">
        <f>IF(OR(A19="",$B$5=""),"",EDATE($B$5,A19-1))</f>
        <v/>
      </c>
      <c r="C19" s="10" t="inlineStr">
        <is>
          <t>Estructura</t>
        </is>
      </c>
      <c r="D19" s="21" t="n">
        <v>4.29</v>
      </c>
      <c r="E19" s="10" t="inlineStr">
        <is>
          <t>Pruebas de resistencia de concreto; Armado de acero de refuerzo; Fundida de columnas y pantallas</t>
        </is>
      </c>
      <c r="F19" s="22">
        <f>IF(OR(D19="",$B$6=""),"",$B$6*D19/100)</f>
        <v/>
      </c>
      <c r="G19" s="23">
        <f>IF(D19="","",SUM($D$11:D19))</f>
        <v/>
      </c>
    </row>
    <row r="20">
      <c r="A20" s="19" t="n">
        <v>10</v>
      </c>
      <c r="B20" s="20">
        <f>IF(OR(A20="",$B$5=""),"",EDATE($B$5,A20-1))</f>
        <v/>
      </c>
      <c r="C20" s="10" t="inlineStr">
        <is>
          <t>Estructura</t>
        </is>
      </c>
      <c r="D20" s="21" t="n">
        <v>4.29</v>
      </c>
      <c r="E20" s="10" t="inlineStr">
        <is>
          <t>Armado de acero de refuerzo; Fundida de columnas y pantallas; Fundida de placas de entrepiso</t>
        </is>
      </c>
      <c r="F20" s="22">
        <f>IF(OR(D20="",$B$6=""),"",$B$6*D20/100)</f>
        <v/>
      </c>
      <c r="G20" s="23">
        <f>IF(D20="","",SUM($D$11:D20))</f>
        <v/>
      </c>
    </row>
    <row r="21">
      <c r="A21" s="19" t="n">
        <v>11</v>
      </c>
      <c r="B21" s="20">
        <f>IF(OR(A21="",$B$5=""),"",EDATE($B$5,A21-1))</f>
        <v/>
      </c>
      <c r="C21" s="10" t="inlineStr">
        <is>
          <t>Estructura</t>
        </is>
      </c>
      <c r="D21" s="21" t="n">
        <v>4.29</v>
      </c>
      <c r="E21" s="10" t="inlineStr">
        <is>
          <t>Fundida de columnas y pantallas; Fundida de placas de entrepiso; Pruebas de resistencia de concreto</t>
        </is>
      </c>
      <c r="F21" s="22">
        <f>IF(OR(D21="",$B$6=""),"",$B$6*D21/100)</f>
        <v/>
      </c>
      <c r="G21" s="23">
        <f>IF(D21="","",SUM($D$11:D21))</f>
        <v/>
      </c>
    </row>
    <row r="22">
      <c r="A22" s="19" t="n">
        <v>12</v>
      </c>
      <c r="B22" s="20">
        <f>IF(OR(A22="",$B$5=""),"",EDATE($B$5,A22-1))</f>
        <v/>
      </c>
      <c r="C22" s="10" t="inlineStr">
        <is>
          <t>Estructura</t>
        </is>
      </c>
      <c r="D22" s="21" t="n">
        <v>4.26</v>
      </c>
      <c r="E22" s="10" t="inlineStr">
        <is>
          <t>Fundida de placas de entrepiso; Pruebas de resistencia de concreto; Armado de acero de refuerzo</t>
        </is>
      </c>
      <c r="F22" s="22">
        <f>IF(OR(D22="",$B$6=""),"",$B$6*D22/100)</f>
        <v/>
      </c>
      <c r="G22" s="23">
        <f>IF(D22="","",SUM($D$11:D22))</f>
        <v/>
      </c>
    </row>
    <row r="23">
      <c r="A23" s="19" t="n">
        <v>13</v>
      </c>
      <c r="B23" s="20">
        <f>IF(OR(A23="",$B$5=""),"",EDATE($B$5,A23-1))</f>
        <v/>
      </c>
      <c r="C23" s="10" t="inlineStr">
        <is>
          <t>Mampostería y cubierta</t>
        </is>
      </c>
      <c r="D23" s="21" t="n">
        <v>4</v>
      </c>
      <c r="E23" s="10" t="inlineStr">
        <is>
          <t>Levante de muros de fachada; Mampostería interior; Pañetes y revoques</t>
        </is>
      </c>
      <c r="F23" s="22">
        <f>IF(OR(D23="",$B$6=""),"",$B$6*D23/100)</f>
        <v/>
      </c>
      <c r="G23" s="23">
        <f>IF(D23="","",SUM($D$11:D23))</f>
        <v/>
      </c>
    </row>
    <row r="24">
      <c r="A24" s="19" t="n">
        <v>14</v>
      </c>
      <c r="B24" s="20">
        <f>IF(OR(A24="",$B$5=""),"",EDATE($B$5,A24-1))</f>
        <v/>
      </c>
      <c r="C24" s="10" t="inlineStr">
        <is>
          <t>Mampostería y cubierta</t>
        </is>
      </c>
      <c r="D24" s="21" t="n">
        <v>4</v>
      </c>
      <c r="E24" s="10" t="inlineStr">
        <is>
          <t>Mampostería interior; Pañetes y revoques; Impermeabilización de cubierta</t>
        </is>
      </c>
      <c r="F24" s="22">
        <f>IF(OR(D24="",$B$6=""),"",$B$6*D24/100)</f>
        <v/>
      </c>
      <c r="G24" s="23">
        <f>IF(D24="","",SUM($D$11:D24))</f>
        <v/>
      </c>
    </row>
    <row r="25">
      <c r="A25" s="19" t="n">
        <v>15</v>
      </c>
      <c r="B25" s="20">
        <f>IF(OR(A25="",$B$5=""),"",EDATE($B$5,A25-1))</f>
        <v/>
      </c>
      <c r="C25" s="10" t="inlineStr">
        <is>
          <t>Mampostería y cubierta</t>
        </is>
      </c>
      <c r="D25" s="21" t="n">
        <v>4</v>
      </c>
      <c r="E25" s="10" t="inlineStr">
        <is>
          <t>Pañetes y revoques; Impermeabilización de cubierta; Levante de muros de fachada</t>
        </is>
      </c>
      <c r="F25" s="22">
        <f>IF(OR(D25="",$B$6=""),"",$B$6*D25/100)</f>
        <v/>
      </c>
      <c r="G25" s="23">
        <f>IF(D25="","",SUM($D$11:D25))</f>
        <v/>
      </c>
    </row>
    <row r="26">
      <c r="A26" s="19" t="n">
        <v>16</v>
      </c>
      <c r="B26" s="20">
        <f>IF(OR(A26="",$B$5=""),"",EDATE($B$5,A26-1))</f>
        <v/>
      </c>
      <c r="C26" s="10" t="inlineStr">
        <is>
          <t>Instalaciones técnicas</t>
        </is>
      </c>
      <c r="D26" s="21" t="n">
        <v>4</v>
      </c>
      <c r="E26" s="10" t="inlineStr">
        <is>
          <t>Redes hidrosanitarias; Redes eléctricas y datos; Red contra incendios</t>
        </is>
      </c>
      <c r="F26" s="22">
        <f>IF(OR(D26="",$B$6=""),"",$B$6*D26/100)</f>
        <v/>
      </c>
      <c r="G26" s="23">
        <f>IF(D26="","",SUM($D$11:D26))</f>
        <v/>
      </c>
    </row>
    <row r="27">
      <c r="A27" s="19" t="n">
        <v>17</v>
      </c>
      <c r="B27" s="20">
        <f>IF(OR(A27="",$B$5=""),"",EDATE($B$5,A27-1))</f>
        <v/>
      </c>
      <c r="C27" s="10" t="inlineStr">
        <is>
          <t>Instalaciones técnicas</t>
        </is>
      </c>
      <c r="D27" s="21" t="n">
        <v>4</v>
      </c>
      <c r="E27" s="10" t="inlineStr">
        <is>
          <t>Redes eléctricas y datos; Red contra incendios; Montaje de ascensores</t>
        </is>
      </c>
      <c r="F27" s="22">
        <f>IF(OR(D27="",$B$6=""),"",$B$6*D27/100)</f>
        <v/>
      </c>
      <c r="G27" s="23">
        <f>IF(D27="","",SUM($D$11:D27))</f>
        <v/>
      </c>
    </row>
    <row r="28">
      <c r="A28" s="19" t="n">
        <v>18</v>
      </c>
      <c r="B28" s="20">
        <f>IF(OR(A28="",$B$5=""),"",EDATE($B$5,A28-1))</f>
        <v/>
      </c>
      <c r="C28" s="10" t="inlineStr">
        <is>
          <t>Instalaciones técnicas</t>
        </is>
      </c>
      <c r="D28" s="21" t="n">
        <v>4</v>
      </c>
      <c r="E28" s="10" t="inlineStr">
        <is>
          <t>Red contra incendios; Montaje de ascensores; Redes hidrosanitarias</t>
        </is>
      </c>
      <c r="F28" s="22">
        <f>IF(OR(D28="",$B$6=""),"",$B$6*D28/100)</f>
        <v/>
      </c>
      <c r="G28" s="23">
        <f>IF(D28="","",SUM($D$11:D28))</f>
        <v/>
      </c>
    </row>
    <row r="29">
      <c r="A29" s="19" t="n">
        <v>19</v>
      </c>
      <c r="B29" s="20">
        <f>IF(OR(A29="",$B$5=""),"",EDATE($B$5,A29-1))</f>
        <v/>
      </c>
      <c r="C29" s="10" t="inlineStr">
        <is>
          <t>Acabados</t>
        </is>
      </c>
      <c r="D29" s="21" t="n">
        <v>4</v>
      </c>
      <c r="E29" s="10" t="inlineStr">
        <is>
          <t>Enchapes y pisos; Carpintería de madera y metálica; Pintura de interiores</t>
        </is>
      </c>
      <c r="F29" s="22">
        <f>IF(OR(D29="",$B$6=""),"",$B$6*D29/100)</f>
        <v/>
      </c>
      <c r="G29" s="23">
        <f>IF(D29="","",SUM($D$11:D29))</f>
        <v/>
      </c>
    </row>
    <row r="30">
      <c r="A30" s="19" t="n">
        <v>20</v>
      </c>
      <c r="B30" s="20">
        <f>IF(OR(A30="",$B$5=""),"",EDATE($B$5,A30-1))</f>
        <v/>
      </c>
      <c r="C30" s="10" t="inlineStr">
        <is>
          <t>Acabados</t>
        </is>
      </c>
      <c r="D30" s="21" t="n">
        <v>4</v>
      </c>
      <c r="E30" s="10" t="inlineStr">
        <is>
          <t>Carpintería de madera y metálica; Pintura de interiores; Cocinas integrales y ventanería</t>
        </is>
      </c>
      <c r="F30" s="22">
        <f>IF(OR(D30="",$B$6=""),"",$B$6*D30/100)</f>
        <v/>
      </c>
      <c r="G30" s="23">
        <f>IF(D30="","",SUM($D$11:D30))</f>
        <v/>
      </c>
    </row>
    <row r="31">
      <c r="A31" s="19" t="n">
        <v>21</v>
      </c>
      <c r="B31" s="20">
        <f>IF(OR(A31="",$B$5=""),"",EDATE($B$5,A31-1))</f>
        <v/>
      </c>
      <c r="C31" s="10" t="inlineStr">
        <is>
          <t>Acabados</t>
        </is>
      </c>
      <c r="D31" s="21" t="n">
        <v>4</v>
      </c>
      <c r="E31" s="10" t="inlineStr">
        <is>
          <t>Pintura de interiores; Cocinas integrales y ventanería; Enchapes y pisos</t>
        </is>
      </c>
      <c r="F31" s="22">
        <f>IF(OR(D31="",$B$6=""),"",$B$6*D31/100)</f>
        <v/>
      </c>
      <c r="G31" s="23">
        <f>IF(D31="","",SUM($D$11:D31))</f>
        <v/>
      </c>
    </row>
    <row r="32">
      <c r="A32" s="19" t="n">
        <v>22</v>
      </c>
      <c r="B32" s="20">
        <f>IF(OR(A32="",$B$5=""),"",EDATE($B$5,A32-1))</f>
        <v/>
      </c>
      <c r="C32" s="10" t="inlineStr">
        <is>
          <t>Acabados</t>
        </is>
      </c>
      <c r="D32" s="21" t="n">
        <v>4</v>
      </c>
      <c r="E32" s="10" t="inlineStr">
        <is>
          <t>Cocinas integrales y ventanería; Enchapes y pisos; Carpintería de madera y metálica</t>
        </is>
      </c>
      <c r="F32" s="22">
        <f>IF(OR(D32="",$B$6=""),"",$B$6*D32/100)</f>
        <v/>
      </c>
      <c r="G32" s="23">
        <f>IF(D32="","",SUM($D$11:D32))</f>
        <v/>
      </c>
    </row>
    <row r="33">
      <c r="A33" s="19" t="n">
        <v>23</v>
      </c>
      <c r="B33" s="20">
        <f>IF(OR(A33="",$B$5=""),"",EDATE($B$5,A33-1))</f>
        <v/>
      </c>
      <c r="C33" s="10" t="inlineStr">
        <is>
          <t>Zonas comunes y entrega</t>
        </is>
      </c>
      <c r="D33" s="21" t="n">
        <v>4</v>
      </c>
      <c r="E33" s="10" t="inlineStr">
        <is>
          <t>Zonas verdes y paisajismo; Salón social y gimnasio; Pruebas finales y puesta en marcha</t>
        </is>
      </c>
      <c r="F33" s="22">
        <f>IF(OR(D33="",$B$6=""),"",$B$6*D33/100)</f>
        <v/>
      </c>
      <c r="G33" s="23">
        <f>IF(D33="","",SUM($D$11:D33))</f>
        <v/>
      </c>
    </row>
    <row r="34">
      <c r="A34" s="19" t="n">
        <v>24</v>
      </c>
      <c r="B34" s="20">
        <f>IF(OR(A34="",$B$5=""),"",EDATE($B$5,A34-1))</f>
        <v/>
      </c>
      <c r="C34" s="10" t="inlineStr">
        <is>
          <t>Zonas comunes y entrega</t>
        </is>
      </c>
      <c r="D34" s="21" t="n">
        <v>4</v>
      </c>
      <c r="E34" s="10" t="inlineStr">
        <is>
          <t>Salón social y gimnasio; Pruebas finales y puesta en marcha; Entrega de unidades a propietarios</t>
        </is>
      </c>
      <c r="F34" s="22">
        <f>IF(OR(D34="",$B$6=""),"",$B$6*D34/100)</f>
        <v/>
      </c>
      <c r="G34" s="23">
        <f>IF(D34="","",SUM($D$11:D34))</f>
        <v/>
      </c>
    </row>
    <row r="35">
      <c r="A35" s="19" t="n"/>
      <c r="B35" s="20">
        <f>IF(OR(A35="",$B$5=""),"",EDATE($B$5,A35-1))</f>
        <v/>
      </c>
      <c r="C35" s="10" t="n"/>
      <c r="D35" s="21" t="n"/>
      <c r="E35" s="10" t="n"/>
      <c r="F35" s="22">
        <f>IF(OR(D35="",$B$6=""),"",$B$6*D35/100)</f>
        <v/>
      </c>
      <c r="G35" s="23">
        <f>IF(D35="","",SUM($D$11:D35))</f>
        <v/>
      </c>
    </row>
    <row r="36">
      <c r="A36" s="19" t="n"/>
      <c r="B36" s="20">
        <f>IF(OR(A36="",$B$5=""),"",EDATE($B$5,A36-1))</f>
        <v/>
      </c>
      <c r="C36" s="10" t="n"/>
      <c r="D36" s="21" t="n"/>
      <c r="E36" s="10" t="n"/>
      <c r="F36" s="22">
        <f>IF(OR(D36="",$B$6=""),"",$B$6*D36/100)</f>
        <v/>
      </c>
      <c r="G36" s="23">
        <f>IF(D36="","",SUM($D$11:D36))</f>
        <v/>
      </c>
    </row>
    <row r="37">
      <c r="A37" s="19" t="n"/>
      <c r="B37" s="20">
        <f>IF(OR(A37="",$B$5=""),"",EDATE($B$5,A37-1))</f>
        <v/>
      </c>
      <c r="C37" s="10" t="n"/>
      <c r="D37" s="21" t="n"/>
      <c r="E37" s="10" t="n"/>
      <c r="F37" s="22">
        <f>IF(OR(D37="",$B$6=""),"",$B$6*D37/100)</f>
        <v/>
      </c>
      <c r="G37" s="23">
        <f>IF(D37="","",SUM($D$11:D37))</f>
        <v/>
      </c>
    </row>
    <row r="38">
      <c r="A38" s="19" t="n"/>
      <c r="B38" s="20">
        <f>IF(OR(A38="",$B$5=""),"",EDATE($B$5,A38-1))</f>
        <v/>
      </c>
      <c r="C38" s="10" t="n"/>
      <c r="D38" s="21" t="n"/>
      <c r="E38" s="10" t="n"/>
      <c r="F38" s="22">
        <f>IF(OR(D38="",$B$6=""),"",$B$6*D38/100)</f>
        <v/>
      </c>
      <c r="G38" s="23">
        <f>IF(D38="","",SUM($D$11:D38))</f>
        <v/>
      </c>
    </row>
    <row r="39">
      <c r="A39" s="19" t="n"/>
      <c r="B39" s="20">
        <f>IF(OR(A39="",$B$5=""),"",EDATE($B$5,A39-1))</f>
        <v/>
      </c>
      <c r="C39" s="10" t="n"/>
      <c r="D39" s="21" t="n"/>
      <c r="E39" s="10" t="n"/>
      <c r="F39" s="22">
        <f>IF(OR(D39="",$B$6=""),"",$B$6*D39/100)</f>
        <v/>
      </c>
      <c r="G39" s="23">
        <f>IF(D39="","",SUM($D$11:D39))</f>
        <v/>
      </c>
    </row>
    <row r="40">
      <c r="A40" s="19" t="n"/>
      <c r="B40" s="20">
        <f>IF(OR(A40="",$B$5=""),"",EDATE($B$5,A40-1))</f>
        <v/>
      </c>
      <c r="C40" s="10" t="n"/>
      <c r="D40" s="21" t="n"/>
      <c r="E40" s="10" t="n"/>
      <c r="F40" s="22">
        <f>IF(OR(D40="",$B$6=""),"",$B$6*D40/100)</f>
        <v/>
      </c>
      <c r="G40" s="23">
        <f>IF(D40="","",SUM($D$11:D40))</f>
        <v/>
      </c>
    </row>
    <row r="41">
      <c r="A41" s="19" t="n"/>
      <c r="B41" s="20">
        <f>IF(OR(A41="",$B$5=""),"",EDATE($B$5,A41-1))</f>
        <v/>
      </c>
      <c r="C41" s="10" t="n"/>
      <c r="D41" s="21" t="n"/>
      <c r="E41" s="10" t="n"/>
      <c r="F41" s="22">
        <f>IF(OR(D41="",$B$6=""),"",$B$6*D41/100)</f>
        <v/>
      </c>
      <c r="G41" s="23">
        <f>IF(D41="","",SUM($D$11:D41))</f>
        <v/>
      </c>
    </row>
    <row r="42">
      <c r="A42" s="19" t="n"/>
      <c r="B42" s="20">
        <f>IF(OR(A42="",$B$5=""),"",EDATE($B$5,A42-1))</f>
        <v/>
      </c>
      <c r="C42" s="10" t="n"/>
      <c r="D42" s="21" t="n"/>
      <c r="E42" s="10" t="n"/>
      <c r="F42" s="22">
        <f>IF(OR(D42="",$B$6=""),"",$B$6*D42/100)</f>
        <v/>
      </c>
      <c r="G42" s="23">
        <f>IF(D42="","",SUM($D$11:D42))</f>
        <v/>
      </c>
    </row>
    <row r="43">
      <c r="A43" s="19" t="n"/>
      <c r="B43" s="20">
        <f>IF(OR(A43="",$B$5=""),"",EDATE($B$5,A43-1))</f>
        <v/>
      </c>
      <c r="C43" s="10" t="n"/>
      <c r="D43" s="21" t="n"/>
      <c r="E43" s="10" t="n"/>
      <c r="F43" s="22">
        <f>IF(OR(D43="",$B$6=""),"",$B$6*D43/100)</f>
        <v/>
      </c>
      <c r="G43" s="23">
        <f>IF(D43="","",SUM($D$11:D43))</f>
        <v/>
      </c>
    </row>
    <row r="44">
      <c r="A44" s="19" t="n"/>
      <c r="B44" s="20">
        <f>IF(OR(A44="",$B$5=""),"",EDATE($B$5,A44-1))</f>
        <v/>
      </c>
      <c r="C44" s="10" t="n"/>
      <c r="D44" s="21" t="n"/>
      <c r="E44" s="10" t="n"/>
      <c r="F44" s="22">
        <f>IF(OR(D44="",$B$6=""),"",$B$6*D44/100)</f>
        <v/>
      </c>
      <c r="G44" s="23">
        <f>IF(D44="","",SUM($D$11:D44))</f>
        <v/>
      </c>
    </row>
    <row r="45">
      <c r="A45" s="19" t="n"/>
      <c r="B45" s="20">
        <f>IF(OR(A45="",$B$5=""),"",EDATE($B$5,A45-1))</f>
        <v/>
      </c>
      <c r="C45" s="10" t="n"/>
      <c r="D45" s="21" t="n"/>
      <c r="E45" s="10" t="n"/>
      <c r="F45" s="22">
        <f>IF(OR(D45="",$B$6=""),"",$B$6*D45/100)</f>
        <v/>
      </c>
      <c r="G45" s="23">
        <f>IF(D45="","",SUM($D$11:D45))</f>
        <v/>
      </c>
    </row>
    <row r="46">
      <c r="A46" s="19" t="n"/>
      <c r="B46" s="20">
        <f>IF(OR(A46="",$B$5=""),"",EDATE($B$5,A46-1))</f>
        <v/>
      </c>
      <c r="C46" s="10" t="n"/>
      <c r="D46" s="21" t="n"/>
      <c r="E46" s="10" t="n"/>
      <c r="F46" s="22">
        <f>IF(OR(D46="",$B$6=""),"",$B$6*D46/100)</f>
        <v/>
      </c>
      <c r="G46" s="23">
        <f>IF(D46="","",SUM($D$11:D46))</f>
        <v/>
      </c>
    </row>
    <row r="47">
      <c r="A47" s="19" t="n"/>
      <c r="B47" s="20">
        <f>IF(OR(A47="",$B$5=""),"",EDATE($B$5,A47-1))</f>
        <v/>
      </c>
      <c r="C47" s="10" t="n"/>
      <c r="D47" s="21" t="n"/>
      <c r="E47" s="10" t="n"/>
      <c r="F47" s="22">
        <f>IF(OR(D47="",$B$6=""),"",$B$6*D47/100)</f>
        <v/>
      </c>
      <c r="G47" s="23">
        <f>IF(D47="","",SUM($D$11:D47))</f>
        <v/>
      </c>
    </row>
    <row r="48">
      <c r="A48" s="19" t="n"/>
      <c r="B48" s="20">
        <f>IF(OR(A48="",$B$5=""),"",EDATE($B$5,A48-1))</f>
        <v/>
      </c>
      <c r="C48" s="10" t="n"/>
      <c r="D48" s="21" t="n"/>
      <c r="E48" s="10" t="n"/>
      <c r="F48" s="22">
        <f>IF(OR(D48="",$B$6=""),"",$B$6*D48/100)</f>
        <v/>
      </c>
      <c r="G48" s="23">
        <f>IF(D48="","",SUM($D$11:D48))</f>
        <v/>
      </c>
    </row>
    <row r="49">
      <c r="A49" s="19" t="n"/>
      <c r="B49" s="20">
        <f>IF(OR(A49="",$B$5=""),"",EDATE($B$5,A49-1))</f>
        <v/>
      </c>
      <c r="C49" s="10" t="n"/>
      <c r="D49" s="21" t="n"/>
      <c r="E49" s="10" t="n"/>
      <c r="F49" s="22">
        <f>IF(OR(D49="",$B$6=""),"",$B$6*D49/100)</f>
        <v/>
      </c>
      <c r="G49" s="23">
        <f>IF(D49="","",SUM($D$11:D49))</f>
        <v/>
      </c>
    </row>
    <row r="50">
      <c r="A50" s="19" t="n"/>
      <c r="B50" s="20">
        <f>IF(OR(A50="",$B$5=""),"",EDATE($B$5,A50-1))</f>
        <v/>
      </c>
      <c r="C50" s="10" t="n"/>
      <c r="D50" s="21" t="n"/>
      <c r="E50" s="10" t="n"/>
      <c r="F50" s="22">
        <f>IF(OR(D50="",$B$6=""),"",$B$6*D50/100)</f>
        <v/>
      </c>
      <c r="G50" s="23">
        <f>IF(D50="","",SUM($D$11:D50))</f>
        <v/>
      </c>
    </row>
    <row r="51">
      <c r="A51" s="19" t="n"/>
      <c r="B51" s="20">
        <f>IF(OR(A51="",$B$5=""),"",EDATE($B$5,A51-1))</f>
        <v/>
      </c>
      <c r="C51" s="10" t="n"/>
      <c r="D51" s="21" t="n"/>
      <c r="E51" s="10" t="n"/>
      <c r="F51" s="22">
        <f>IF(OR(D51="",$B$6=""),"",$B$6*D51/100)</f>
        <v/>
      </c>
      <c r="G51" s="23">
        <f>IF(D51="","",SUM($D$11:D51))</f>
        <v/>
      </c>
    </row>
    <row r="52">
      <c r="A52" s="19" t="n"/>
      <c r="B52" s="20">
        <f>IF(OR(A52="",$B$5=""),"",EDATE($B$5,A52-1))</f>
        <v/>
      </c>
      <c r="C52" s="10" t="n"/>
      <c r="D52" s="21" t="n"/>
      <c r="E52" s="10" t="n"/>
      <c r="F52" s="22">
        <f>IF(OR(D52="",$B$6=""),"",$B$6*D52/100)</f>
        <v/>
      </c>
      <c r="G52" s="23">
        <f>IF(D52="","",SUM($D$11:D52))</f>
        <v/>
      </c>
    </row>
    <row r="53">
      <c r="A53" s="19" t="n"/>
      <c r="B53" s="20">
        <f>IF(OR(A53="",$B$5=""),"",EDATE($B$5,A53-1))</f>
        <v/>
      </c>
      <c r="C53" s="10" t="n"/>
      <c r="D53" s="21" t="n"/>
      <c r="E53" s="10" t="n"/>
      <c r="F53" s="22">
        <f>IF(OR(D53="",$B$6=""),"",$B$6*D53/100)</f>
        <v/>
      </c>
      <c r="G53" s="23">
        <f>IF(D53="","",SUM($D$11:D53))</f>
        <v/>
      </c>
    </row>
    <row r="54">
      <c r="A54" s="19" t="n"/>
      <c r="B54" s="20">
        <f>IF(OR(A54="",$B$5=""),"",EDATE($B$5,A54-1))</f>
        <v/>
      </c>
      <c r="C54" s="10" t="n"/>
      <c r="D54" s="21" t="n"/>
      <c r="E54" s="10" t="n"/>
      <c r="F54" s="22">
        <f>IF(OR(D54="",$B$6=""),"",$B$6*D54/100)</f>
        <v/>
      </c>
      <c r="G54" s="23">
        <f>IF(D54="","",SUM($D$11:D54))</f>
        <v/>
      </c>
    </row>
    <row r="55">
      <c r="A55" s="19" t="n"/>
      <c r="B55" s="20">
        <f>IF(OR(A55="",$B$5=""),"",EDATE($B$5,A55-1))</f>
        <v/>
      </c>
      <c r="C55" s="10" t="n"/>
      <c r="D55" s="21" t="n"/>
      <c r="E55" s="10" t="n"/>
      <c r="F55" s="22">
        <f>IF(OR(D55="",$B$6=""),"",$B$6*D55/100)</f>
        <v/>
      </c>
      <c r="G55" s="23">
        <f>IF(D55="","",SUM($D$11:D55))</f>
        <v/>
      </c>
    </row>
    <row r="56">
      <c r="A56" s="19" t="n"/>
      <c r="B56" s="20">
        <f>IF(OR(A56="",$B$5=""),"",EDATE($B$5,A56-1))</f>
        <v/>
      </c>
      <c r="C56" s="10" t="n"/>
      <c r="D56" s="21" t="n"/>
      <c r="E56" s="10" t="n"/>
      <c r="F56" s="22">
        <f>IF(OR(D56="",$B$6=""),"",$B$6*D56/100)</f>
        <v/>
      </c>
      <c r="G56" s="23">
        <f>IF(D56="","",SUM($D$11:D56))</f>
        <v/>
      </c>
    </row>
    <row r="57">
      <c r="A57" s="19" t="n"/>
      <c r="B57" s="20">
        <f>IF(OR(A57="",$B$5=""),"",EDATE($B$5,A57-1))</f>
        <v/>
      </c>
      <c r="C57" s="10" t="n"/>
      <c r="D57" s="21" t="n"/>
      <c r="E57" s="10" t="n"/>
      <c r="F57" s="22">
        <f>IF(OR(D57="",$B$6=""),"",$B$6*D57/100)</f>
        <v/>
      </c>
      <c r="G57" s="23">
        <f>IF(D57="","",SUM($D$11:D57))</f>
        <v/>
      </c>
    </row>
    <row r="58">
      <c r="A58" s="19" t="n"/>
      <c r="B58" s="20">
        <f>IF(OR(A58="",$B$5=""),"",EDATE($B$5,A58-1))</f>
        <v/>
      </c>
      <c r="C58" s="10" t="n"/>
      <c r="D58" s="21" t="n"/>
      <c r="E58" s="10" t="n"/>
      <c r="F58" s="22">
        <f>IF(OR(D58="",$B$6=""),"",$B$6*D58/100)</f>
        <v/>
      </c>
      <c r="G58" s="23">
        <f>IF(D58="","",SUM($D$11:D58))</f>
        <v/>
      </c>
    </row>
    <row r="59">
      <c r="A59" s="19" t="n"/>
      <c r="B59" s="20">
        <f>IF(OR(A59="",$B$5=""),"",EDATE($B$5,A59-1))</f>
        <v/>
      </c>
      <c r="C59" s="10" t="n"/>
      <c r="D59" s="21" t="n"/>
      <c r="E59" s="10" t="n"/>
      <c r="F59" s="22">
        <f>IF(OR(D59="",$B$6=""),"",$B$6*D59/100)</f>
        <v/>
      </c>
      <c r="G59" s="23">
        <f>IF(D59="","",SUM($D$11:D59))</f>
        <v/>
      </c>
    </row>
    <row r="60">
      <c r="A60" s="19" t="n"/>
      <c r="B60" s="20">
        <f>IF(OR(A60="",$B$5=""),"",EDATE($B$5,A60-1))</f>
        <v/>
      </c>
      <c r="C60" s="10" t="n"/>
      <c r="D60" s="21" t="n"/>
      <c r="E60" s="10" t="n"/>
      <c r="F60" s="22">
        <f>IF(OR(D60="",$B$6=""),"",$B$6*D60/100)</f>
        <v/>
      </c>
      <c r="G60" s="23">
        <f>IF(D60="","",SUM($D$11:D60))</f>
        <v/>
      </c>
    </row>
    <row r="61">
      <c r="A61" s="19" t="n"/>
      <c r="B61" s="20">
        <f>IF(OR(A61="",$B$5=""),"",EDATE($B$5,A61-1))</f>
        <v/>
      </c>
      <c r="C61" s="10" t="n"/>
      <c r="D61" s="21" t="n"/>
      <c r="E61" s="10" t="n"/>
      <c r="F61" s="22">
        <f>IF(OR(D61="",$B$6=""),"",$B$6*D61/100)</f>
        <v/>
      </c>
      <c r="G61" s="23">
        <f>IF(D61="","",SUM($D$11:D61))</f>
        <v/>
      </c>
    </row>
    <row r="62">
      <c r="A62" s="19" t="n"/>
      <c r="B62" s="20">
        <f>IF(OR(A62="",$B$5=""),"",EDATE($B$5,A62-1))</f>
        <v/>
      </c>
      <c r="C62" s="10" t="n"/>
      <c r="D62" s="21" t="n"/>
      <c r="E62" s="10" t="n"/>
      <c r="F62" s="22">
        <f>IF(OR(D62="",$B$6=""),"",$B$6*D62/100)</f>
        <v/>
      </c>
      <c r="G62" s="23">
        <f>IF(D62="","",SUM($D$11:D62))</f>
        <v/>
      </c>
    </row>
    <row r="63">
      <c r="A63" s="19" t="n"/>
      <c r="B63" s="20">
        <f>IF(OR(A63="",$B$5=""),"",EDATE($B$5,A63-1))</f>
        <v/>
      </c>
      <c r="C63" s="10" t="n"/>
      <c r="D63" s="21" t="n"/>
      <c r="E63" s="10" t="n"/>
      <c r="F63" s="22">
        <f>IF(OR(D63="",$B$6=""),"",$B$6*D63/100)</f>
        <v/>
      </c>
      <c r="G63" s="23">
        <f>IF(D63="","",SUM($D$11:D63))</f>
        <v/>
      </c>
    </row>
    <row r="64">
      <c r="A64" s="19" t="n"/>
      <c r="B64" s="20">
        <f>IF(OR(A64="",$B$5=""),"",EDATE($B$5,A64-1))</f>
        <v/>
      </c>
      <c r="C64" s="10" t="n"/>
      <c r="D64" s="21" t="n"/>
      <c r="E64" s="10" t="n"/>
      <c r="F64" s="22">
        <f>IF(OR(D64="",$B$6=""),"",$B$6*D64/100)</f>
        <v/>
      </c>
      <c r="G64" s="23">
        <f>IF(D64="","",SUM($D$11:D64))</f>
        <v/>
      </c>
    </row>
    <row r="65">
      <c r="A65" s="19" t="n"/>
      <c r="B65" s="20">
        <f>IF(OR(A65="",$B$5=""),"",EDATE($B$5,A65-1))</f>
        <v/>
      </c>
      <c r="C65" s="10" t="n"/>
      <c r="D65" s="21" t="n"/>
      <c r="E65" s="10" t="n"/>
      <c r="F65" s="22">
        <f>IF(OR(D65="",$B$6=""),"",$B$6*D65/100)</f>
        <v/>
      </c>
      <c r="G65" s="23">
        <f>IF(D65="","",SUM($D$11:D65))</f>
        <v/>
      </c>
    </row>
    <row r="66">
      <c r="A66" s="19" t="n"/>
      <c r="B66" s="20">
        <f>IF(OR(A66="",$B$5=""),"",EDATE($B$5,A66-1))</f>
        <v/>
      </c>
      <c r="C66" s="10" t="n"/>
      <c r="D66" s="21" t="n"/>
      <c r="E66" s="10" t="n"/>
      <c r="F66" s="22">
        <f>IF(OR(D66="",$B$6=""),"",$B$6*D66/100)</f>
        <v/>
      </c>
      <c r="G66" s="23">
        <f>IF(D66="","",SUM($D$11:D66))</f>
        <v/>
      </c>
    </row>
    <row r="67">
      <c r="A67" s="19" t="n"/>
      <c r="B67" s="20">
        <f>IF(OR(A67="",$B$5=""),"",EDATE($B$5,A67-1))</f>
        <v/>
      </c>
      <c r="C67" s="10" t="n"/>
      <c r="D67" s="21" t="n"/>
      <c r="E67" s="10" t="n"/>
      <c r="F67" s="22">
        <f>IF(OR(D67="",$B$6=""),"",$B$6*D67/100)</f>
        <v/>
      </c>
      <c r="G67" s="23">
        <f>IF(D67="","",SUM($D$11:D67))</f>
        <v/>
      </c>
    </row>
    <row r="68">
      <c r="A68" s="19" t="n"/>
      <c r="B68" s="20">
        <f>IF(OR(A68="",$B$5=""),"",EDATE($B$5,A68-1))</f>
        <v/>
      </c>
      <c r="C68" s="10" t="n"/>
      <c r="D68" s="21" t="n"/>
      <c r="E68" s="10" t="n"/>
      <c r="F68" s="22">
        <f>IF(OR(D68="",$B$6=""),"",$B$6*D68/100)</f>
        <v/>
      </c>
      <c r="G68" s="23">
        <f>IF(D68="","",SUM($D$11:D68))</f>
        <v/>
      </c>
    </row>
    <row r="69">
      <c r="A69" s="19" t="n"/>
      <c r="B69" s="20">
        <f>IF(OR(A69="",$B$5=""),"",EDATE($B$5,A69-1))</f>
        <v/>
      </c>
      <c r="C69" s="10" t="n"/>
      <c r="D69" s="21" t="n"/>
      <c r="E69" s="10" t="n"/>
      <c r="F69" s="22">
        <f>IF(OR(D69="",$B$6=""),"",$B$6*D69/100)</f>
        <v/>
      </c>
      <c r="G69" s="23">
        <f>IF(D69="","",SUM($D$11:D69))</f>
        <v/>
      </c>
    </row>
    <row r="70">
      <c r="A70" s="19" t="n"/>
      <c r="B70" s="20">
        <f>IF(OR(A70="",$B$5=""),"",EDATE($B$5,A70-1))</f>
        <v/>
      </c>
      <c r="C70" s="10" t="n"/>
      <c r="D70" s="21" t="n"/>
      <c r="E70" s="10" t="n"/>
      <c r="F70" s="22">
        <f>IF(OR(D70="",$B$6=""),"",$B$6*D70/100)</f>
        <v/>
      </c>
      <c r="G70" s="23">
        <f>IF(D70="","",SUM($D$11:D70))</f>
        <v/>
      </c>
    </row>
  </sheetData>
  <mergeCells count="6">
    <mergeCell ref="B6:C6"/>
    <mergeCell ref="A1:G1"/>
    <mergeCell ref="B7:C7"/>
    <mergeCell ref="B5:C5"/>
    <mergeCell ref="A2:G2"/>
    <mergeCell ref="B4:C4"/>
  </mergeCells>
  <conditionalFormatting sqref="B8:C8">
    <cfRule type="expression" priority="1" dxfId="0">
      <formula>AND($B$8&gt;0,ABS($B$8-100)&lt;0.01)</formula>
    </cfRule>
    <cfRule type="expression" priority="2" dxfId="1">
      <formula>AND($B$8&gt;0,ABS($B$8-100)&gt;=0.01)</formula>
    </cfRule>
  </conditionalFormatting>
  <dataValidations count="5">
    <dataValidation sqref="A11:A70" showDropDown="0" showInputMessage="0" showErrorMessage="1" allowBlank="1" errorTitle="N° de mes" error="Escriba un número entero entre 1 y 60." type="whole" operator="between">
      <formula1>1</formula1>
      <formula2>60</formula2>
    </dataValidation>
    <dataValidation sqref="C11:C70" showDropDown="0" showInputMessage="0" showErrorMessage="1" allowBlank="1" errorTitle="Fase de obra" error="Elija una fase de la lista desplegable." type="list">
      <formula1>=Fases!$A$6:$A$12</formula1>
    </dataValidation>
    <dataValidation sqref="D11:D70" showDropDown="0" showInputMessage="0" showErrorMessage="1" allowBlank="1" errorTitle="% del presupuesto" error="Escriba un número entre 0 y 100 (ejemplo: 4.5)." type="decimal" operator="between">
      <formula1>0</formula1>
      <formula2>100</formula2>
    </dataValidation>
    <dataValidation sqref="B5" showDropDown="0" showInputMessage="0" showErrorMessage="1" allowBlank="1" errorTitle="Fecha" error="Escriba una fecha válida (dd/mm/aaaa)." type="date" operator="greaterThan">
      <formula1>43831</formula1>
    </dataValidation>
    <dataValidation sqref="B6" showDropDown="0" showInputMessage="0" showErrorMessage="1" allowBlank="1" errorTitle="Presupuesto" error="Escriba el valor total en pesos, sin puntos ni símbolos." type="decimal" operator="greaterThan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2A8F0"/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90" customWidth="1" min="3" max="3"/>
  </cols>
  <sheetData>
    <row r="1" ht="38" customHeight="1">
      <c r="A1" s="1" t="inlineStr">
        <is>
          <t>INN-LOCK · Catálogo de fases de obra</t>
        </is>
      </c>
      <c r="B1" s="2" t="n"/>
      <c r="C1" s="2" t="n"/>
    </row>
    <row r="2" ht="22" customHeight="1">
      <c r="A2" s="3" t="inlineStr">
        <is>
          <t>Use estos nombres en la columna «Fase de obra». Los % son una referencia, no una obligación.</t>
        </is>
      </c>
      <c r="B2" s="2" t="n"/>
      <c r="C2" s="2" t="n"/>
    </row>
    <row r="3" ht="4" customHeight="1">
      <c r="A3" s="4" t="n"/>
      <c r="B3" s="4" t="n"/>
      <c r="C3" s="4" t="n"/>
    </row>
    <row r="5">
      <c r="A5" s="17" t="inlineStr">
        <is>
          <t>Fase de obra</t>
        </is>
      </c>
      <c r="B5" s="17" t="inlineStr">
        <is>
          <t>% de referencia</t>
        </is>
      </c>
      <c r="C5" s="17" t="inlineStr">
        <is>
          <t>Qué incluye</t>
        </is>
      </c>
    </row>
    <row r="6">
      <c r="A6" s="24" t="inlineStr">
        <is>
          <t>Preliminares y licencias</t>
        </is>
      </c>
      <c r="B6" s="25" t="n">
        <v>8</v>
      </c>
      <c r="C6" s="10" t="inlineStr">
        <is>
          <t>Cerramiento, campamento, localización, estudios de suelos, redes provisionales.</t>
        </is>
      </c>
    </row>
    <row r="7">
      <c r="A7" s="24" t="inlineStr">
        <is>
          <t>Excavación y cimentación</t>
        </is>
      </c>
      <c r="B7" s="25" t="n">
        <v>14</v>
      </c>
      <c r="C7" s="10" t="inlineStr">
        <is>
          <t>Excavación, pilotaje, vigas de cimentación, placa de contrapiso, muros de contención.</t>
        </is>
      </c>
    </row>
    <row r="8">
      <c r="A8" s="24" t="inlineStr">
        <is>
          <t>Estructura</t>
        </is>
      </c>
      <c r="B8" s="25" t="n">
        <v>30</v>
      </c>
      <c r="C8" s="10" t="inlineStr">
        <is>
          <t>Acero de refuerzo, columnas, pantallas, placas de entrepiso, escaleras y ascensores.</t>
        </is>
      </c>
    </row>
    <row r="9">
      <c r="A9" s="24" t="inlineStr">
        <is>
          <t>Mampostería y cubierta</t>
        </is>
      </c>
      <c r="B9" s="25" t="n">
        <v>12</v>
      </c>
      <c r="C9" s="10" t="inlineStr">
        <is>
          <t>Muros de fachada e interiores, pañetes, impermeabilización de cubierta.</t>
        </is>
      </c>
    </row>
    <row r="10">
      <c r="A10" s="24" t="inlineStr">
        <is>
          <t>Instalaciones técnicas</t>
        </is>
      </c>
      <c r="B10" s="25" t="n">
        <v>12</v>
      </c>
      <c r="C10" s="10" t="inlineStr">
        <is>
          <t>Redes hidrosanitarias, eléctricas, contra incendios, ascensores y gas.</t>
        </is>
      </c>
    </row>
    <row r="11">
      <c r="A11" s="24" t="inlineStr">
        <is>
          <t>Acabados</t>
        </is>
      </c>
      <c r="B11" s="25" t="n">
        <v>16</v>
      </c>
      <c r="C11" s="10" t="inlineStr">
        <is>
          <t>Enchapes, carpintería, pintura, aparatos sanitarios, cocinas y ventanería.</t>
        </is>
      </c>
    </row>
    <row r="12">
      <c r="A12" s="24" t="inlineStr">
        <is>
          <t>Zonas comunes y entrega</t>
        </is>
      </c>
      <c r="B12" s="25" t="n">
        <v>8</v>
      </c>
      <c r="C12" s="10" t="inlineStr">
        <is>
          <t>Paisajismo, zonas sociales, pruebas finales, servicios públicos y entrega de unidades.</t>
        </is>
      </c>
    </row>
    <row r="13">
      <c r="A13" s="26" t="inlineStr">
        <is>
          <t>Total</t>
        </is>
      </c>
      <c r="B13" s="27">
        <f>SUM(B6:B12)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INN-LOCK</dc:creator>
  <dc:title>INN-LOCK · Plantilla de cronograma de obra</dc:title>
  <dcterms:created xsi:type="dcterms:W3CDTF">2026-10-08T18:30:46Z</dcterms:created>
  <dcterms:modified xsi:type="dcterms:W3CDTF">2026-10-08T18:30:46Z</dcterms:modified>
</cp:coreProperties>
</file>